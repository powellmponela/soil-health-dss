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cgiar-my.sharepoint.com/personal/p_mponela_cgiar_org/Documents/CIMMYT/SOIL HEALTH WRITESHOP MALAWI 17-20 September/Reading Materials/50integrate/"/>
    </mc:Choice>
  </mc:AlternateContent>
  <xr:revisionPtr revIDLastSave="4097" documentId="8_{AC9C940B-B22F-4DCC-84B4-BD8C0C2337FB}" xr6:coauthVersionLast="47" xr6:coauthVersionMax="47" xr10:uidLastSave="{3DE203BB-6896-4726-8D57-A8B8947F3444}"/>
  <bookViews>
    <workbookView xWindow="-108" yWindow="-108" windowWidth="23256" windowHeight="13896" firstSheet="1" activeTab="2" xr2:uid="{A83AE351-67FD-4A13-8EBB-60AF0142AE11}"/>
  </bookViews>
  <sheets>
    <sheet name="frameworks_categorised" sheetId="1" r:id="rId1"/>
    <sheet name="Sheet3" sheetId="11" r:id="rId2"/>
    <sheet name="years" sheetId="12" r:id="rId3"/>
    <sheet name="AE Indicators" sheetId="3" r:id="rId4"/>
    <sheet name="Sheet2" sheetId="10" state="hidden" r:id="rId5"/>
    <sheet name="Sheet1" sheetId="9" state="hidden" r:id="rId6"/>
    <sheet name="Indicator list" sheetId="8" state="hidden" r:id="rId7"/>
    <sheet name="Indicator scale" sheetId="2" r:id="rId8"/>
    <sheet name="Soil Health indicators" sheetId="4" state="hidden" r:id="rId9"/>
    <sheet name="indicator validation" sheetId="7" r:id="rId10"/>
    <sheet name="soil health" sheetId="13" r:id="rId11"/>
    <sheet name="authors" sheetId="14" r:id="rId12"/>
    <sheet name="Tabulated indicators" sheetId="5" state="hidden" r:id="rId13"/>
  </sheets>
  <definedNames>
    <definedName name="_xlnm._FilterDatabase" localSheetId="3" hidden="1">'AE Indicators'!$A$1:$G$686</definedName>
    <definedName name="_xlnm._FilterDatabase" localSheetId="0" hidden="1">frameworks_categorised!$H$1:$K$66</definedName>
    <definedName name="_xlnm._FilterDatabase" localSheetId="6" hidden="1">'Indicator list'!$A$1:$F$1</definedName>
    <definedName name="_xlnm._FilterDatabase" localSheetId="7" hidden="1">'Indicator scale'!$A$24:$F$290</definedName>
    <definedName name="_xlnm._FilterDatabase" localSheetId="9" hidden="1">'indicator validation'!$A$1:$P$418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14" l="1"/>
  <c r="E4" i="14"/>
  <c r="E5" i="14"/>
  <c r="E6" i="14"/>
  <c r="E7" i="14"/>
  <c r="E8" i="14"/>
  <c r="E9" i="14"/>
  <c r="E10" i="14"/>
  <c r="E11" i="14"/>
  <c r="E12" i="14"/>
  <c r="E13" i="14"/>
  <c r="E14" i="14"/>
  <c r="E15" i="14"/>
  <c r="E16" i="14"/>
  <c r="E17" i="14"/>
  <c r="E18" i="14"/>
  <c r="E19" i="14"/>
  <c r="E20" i="14"/>
  <c r="E21" i="14"/>
  <c r="E22" i="14"/>
  <c r="E23" i="14"/>
  <c r="E24" i="14"/>
  <c r="E25" i="14"/>
  <c r="E26" i="14"/>
  <c r="E27" i="14"/>
  <c r="E28" i="14"/>
  <c r="E29" i="14"/>
  <c r="E30" i="14"/>
  <c r="E31" i="14"/>
  <c r="E32" i="14"/>
  <c r="E33" i="14"/>
  <c r="E34" i="14"/>
  <c r="E35" i="14"/>
  <c r="E36" i="14"/>
  <c r="E37" i="14"/>
  <c r="E38" i="14"/>
  <c r="E39" i="14"/>
  <c r="E40" i="14"/>
  <c r="E41" i="14"/>
  <c r="E42" i="14"/>
  <c r="E43" i="14"/>
  <c r="E44" i="14"/>
  <c r="E45" i="14"/>
  <c r="E46" i="14"/>
  <c r="E47" i="14"/>
  <c r="E48" i="14"/>
  <c r="E49" i="14"/>
  <c r="E50" i="14"/>
  <c r="E51" i="14"/>
  <c r="E52" i="14"/>
  <c r="E53" i="14"/>
  <c r="E54" i="14"/>
  <c r="E55" i="14"/>
  <c r="E56" i="14"/>
  <c r="E57" i="14"/>
  <c r="E58" i="14"/>
  <c r="E59" i="14"/>
  <c r="E60" i="14"/>
  <c r="E61" i="14"/>
  <c r="E62" i="14"/>
  <c r="E63" i="14"/>
  <c r="E64" i="14"/>
  <c r="E65" i="14"/>
  <c r="E2" i="14"/>
  <c r="D64" i="14"/>
  <c r="D25" i="14"/>
  <c r="D24" i="14"/>
  <c r="C3" i="14" a="1"/>
  <c r="C3" i="14" s="1"/>
  <c r="C4" i="14" a="1"/>
  <c r="C4" i="14" s="1"/>
  <c r="C5" i="14" a="1"/>
  <c r="C5" i="14" s="1"/>
  <c r="C6" i="14" a="1"/>
  <c r="C6" i="14" s="1"/>
  <c r="C7" i="14" a="1"/>
  <c r="C7" i="14" s="1"/>
  <c r="C8" i="14" a="1"/>
  <c r="C8" i="14" s="1"/>
  <c r="C9" i="14" a="1"/>
  <c r="C9" i="14" s="1"/>
  <c r="C10" i="14" a="1"/>
  <c r="C10" i="14" s="1"/>
  <c r="C11" i="14" a="1"/>
  <c r="C11" i="14" s="1"/>
  <c r="C12" i="14" a="1"/>
  <c r="C12" i="14" s="1"/>
  <c r="C13" i="14" a="1"/>
  <c r="C13" i="14" s="1"/>
  <c r="C14" i="14" a="1"/>
  <c r="C14" i="14" s="1"/>
  <c r="C15" i="14" a="1"/>
  <c r="C15" i="14" s="1"/>
  <c r="C16" i="14" a="1"/>
  <c r="C16" i="14" s="1"/>
  <c r="C17" i="14" a="1"/>
  <c r="C17" i="14" s="1"/>
  <c r="C18" i="14" a="1"/>
  <c r="C18" i="14"/>
  <c r="C19" i="14" a="1"/>
  <c r="C19" i="14" s="1"/>
  <c r="C20" i="14" a="1"/>
  <c r="C20" i="14" s="1"/>
  <c r="C21" i="14" a="1"/>
  <c r="C21" i="14" s="1"/>
  <c r="C22" i="14" a="1"/>
  <c r="C22" i="14"/>
  <c r="C23" i="14" a="1"/>
  <c r="C23" i="14" s="1"/>
  <c r="C24" i="14" a="1"/>
  <c r="C24" i="14"/>
  <c r="C25" i="14" a="1"/>
  <c r="C25" i="14" s="1"/>
  <c r="C26" i="14" a="1"/>
  <c r="C26" i="14" s="1"/>
  <c r="C27" i="14" a="1"/>
  <c r="C27" i="14" s="1"/>
  <c r="C28" i="14" a="1"/>
  <c r="C28" i="14" s="1"/>
  <c r="C29" i="14" a="1"/>
  <c r="C29" i="14" s="1"/>
  <c r="C30" i="14" a="1"/>
  <c r="C30" i="14" s="1"/>
  <c r="C32" i="14" a="1"/>
  <c r="C32" i="14" s="1"/>
  <c r="C33" i="14" a="1"/>
  <c r="C33" i="14" s="1"/>
  <c r="C34" i="14" a="1"/>
  <c r="C34" i="14" s="1"/>
  <c r="C35" i="14" a="1"/>
  <c r="C35" i="14" s="1"/>
  <c r="C36" i="14" a="1"/>
  <c r="C36" i="14"/>
  <c r="C37" i="14" a="1"/>
  <c r="C37" i="14" s="1"/>
  <c r="C38" i="14" a="1"/>
  <c r="C38" i="14" s="1"/>
  <c r="C39" i="14" a="1"/>
  <c r="C39" i="14" s="1"/>
  <c r="C40" i="14" a="1"/>
  <c r="C40" i="14" s="1"/>
  <c r="C41" i="14" a="1"/>
  <c r="C41" i="14" s="1"/>
  <c r="C42" i="14" a="1"/>
  <c r="C42" i="14" s="1"/>
  <c r="C43" i="14" a="1"/>
  <c r="C43" i="14" s="1"/>
  <c r="C44" i="14" a="1"/>
  <c r="C44" i="14" s="1"/>
  <c r="C45" i="14" a="1"/>
  <c r="C45" i="14" s="1"/>
  <c r="C46" i="14" a="1"/>
  <c r="C46" i="14" s="1"/>
  <c r="C47" i="14" a="1"/>
  <c r="C47" i="14" s="1"/>
  <c r="C48" i="14" a="1"/>
  <c r="C48" i="14" s="1"/>
  <c r="C49" i="14" a="1"/>
  <c r="C49" i="14"/>
  <c r="C50" i="14" a="1"/>
  <c r="C50" i="14" s="1"/>
  <c r="C51" i="14" a="1"/>
  <c r="C51" i="14" s="1"/>
  <c r="C52" i="14" a="1"/>
  <c r="C52" i="14" s="1"/>
  <c r="C53" i="14" a="1"/>
  <c r="C53" i="14"/>
  <c r="C54" i="14" a="1"/>
  <c r="C54" i="14" s="1"/>
  <c r="C55" i="14" a="1"/>
  <c r="C55" i="14" s="1"/>
  <c r="C56" i="14" a="1"/>
  <c r="C56" i="14" s="1"/>
  <c r="C57" i="14" a="1"/>
  <c r="C57" i="14" s="1"/>
  <c r="C58" i="14" a="1"/>
  <c r="C58" i="14" s="1"/>
  <c r="C59" i="14" a="1"/>
  <c r="C59" i="14" s="1"/>
  <c r="C60" i="14" a="1"/>
  <c r="C60" i="14" s="1"/>
  <c r="C61" i="14" a="1"/>
  <c r="C61" i="14" s="1"/>
  <c r="C62" i="14" a="1"/>
  <c r="C62" i="14" s="1"/>
  <c r="C63" i="14" a="1"/>
  <c r="C63" i="14" s="1"/>
  <c r="C64" i="14" a="1"/>
  <c r="C64" i="14" s="1"/>
  <c r="C65" i="14" a="1"/>
  <c r="C65" i="14" s="1"/>
  <c r="C2" i="14" a="1"/>
  <c r="C2" i="14" s="1"/>
  <c r="O3" i="12"/>
  <c r="O4" i="12"/>
  <c r="O6" i="12"/>
  <c r="O5" i="12"/>
  <c r="O7" i="12"/>
  <c r="O8" i="12"/>
  <c r="O9" i="12"/>
  <c r="O10" i="12"/>
  <c r="O11" i="12"/>
  <c r="O12" i="12"/>
  <c r="O13" i="12"/>
  <c r="O14" i="12"/>
  <c r="O15" i="12"/>
  <c r="O16" i="12"/>
  <c r="O17" i="12"/>
  <c r="O18" i="12"/>
  <c r="O19" i="12"/>
  <c r="O20" i="12"/>
  <c r="O21" i="12"/>
  <c r="O23" i="12"/>
  <c r="O24" i="12"/>
  <c r="O22" i="12"/>
  <c r="O25" i="12"/>
  <c r="O26" i="12"/>
  <c r="O27" i="12"/>
  <c r="O28" i="12"/>
  <c r="O30" i="12"/>
  <c r="O29" i="12"/>
  <c r="O35" i="12"/>
  <c r="O36" i="12"/>
  <c r="O37" i="12"/>
  <c r="O33" i="12"/>
  <c r="O31" i="12"/>
  <c r="O32" i="12"/>
  <c r="O40" i="12"/>
  <c r="O38" i="12"/>
  <c r="O39" i="12"/>
  <c r="O34" i="12"/>
  <c r="O43" i="12"/>
  <c r="O41" i="12"/>
  <c r="O42" i="12"/>
  <c r="O47" i="12"/>
  <c r="O44" i="12"/>
  <c r="O45" i="12"/>
  <c r="O46" i="12"/>
  <c r="O52" i="12"/>
  <c r="O53" i="12"/>
  <c r="O50" i="12"/>
  <c r="O48" i="12"/>
  <c r="O49" i="12"/>
  <c r="O51" i="12"/>
  <c r="O54" i="12"/>
  <c r="O55" i="12"/>
  <c r="O57" i="12"/>
  <c r="O58" i="12"/>
  <c r="O56" i="12"/>
  <c r="O59" i="12"/>
  <c r="O62" i="12"/>
  <c r="O60" i="12"/>
  <c r="O61" i="12"/>
  <c r="O64" i="12"/>
  <c r="O63" i="12"/>
  <c r="O65" i="12"/>
  <c r="O2" i="12"/>
  <c r="L89" i="12"/>
  <c r="K3" i="12"/>
  <c r="K4" i="12"/>
  <c r="K6" i="12"/>
  <c r="K5" i="12"/>
  <c r="K7" i="12"/>
  <c r="K8" i="12"/>
  <c r="K9" i="12"/>
  <c r="K10" i="12"/>
  <c r="K11" i="12"/>
  <c r="K12" i="12"/>
  <c r="K13" i="12"/>
  <c r="K14" i="12"/>
  <c r="K15" i="12"/>
  <c r="K16" i="12"/>
  <c r="K17" i="12"/>
  <c r="K18" i="12"/>
  <c r="K19" i="12"/>
  <c r="K20" i="12"/>
  <c r="K21" i="12"/>
  <c r="K23" i="12"/>
  <c r="K24" i="12"/>
  <c r="K22" i="12"/>
  <c r="K25" i="12"/>
  <c r="K26" i="12"/>
  <c r="K27" i="12"/>
  <c r="K28" i="12"/>
  <c r="K30" i="12"/>
  <c r="K29" i="12"/>
  <c r="K35" i="12"/>
  <c r="K36" i="12"/>
  <c r="K37" i="12"/>
  <c r="K33" i="12"/>
  <c r="K31" i="12"/>
  <c r="K32" i="12"/>
  <c r="K40" i="12"/>
  <c r="K38" i="12"/>
  <c r="K39" i="12"/>
  <c r="K34" i="12"/>
  <c r="K43" i="12"/>
  <c r="K41" i="12"/>
  <c r="K42" i="12"/>
  <c r="K47" i="12"/>
  <c r="K44" i="12"/>
  <c r="K45" i="12"/>
  <c r="K46" i="12"/>
  <c r="K52" i="12"/>
  <c r="K53" i="12"/>
  <c r="K50" i="12"/>
  <c r="K48" i="12"/>
  <c r="K49" i="12"/>
  <c r="K51" i="12"/>
  <c r="K54" i="12"/>
  <c r="K55" i="12"/>
  <c r="K57" i="12"/>
  <c r="K58" i="12"/>
  <c r="K56" i="12"/>
  <c r="K59" i="12"/>
  <c r="K62" i="12"/>
  <c r="K60" i="12"/>
  <c r="K61" i="12"/>
  <c r="K64" i="12"/>
  <c r="K63" i="12"/>
  <c r="K65" i="12"/>
  <c r="K2" i="12"/>
  <c r="L53" i="1"/>
  <c r="L2" i="1"/>
  <c r="L56" i="1"/>
  <c r="L54" i="1"/>
  <c r="G2" i="9"/>
  <c r="G3" i="9"/>
  <c r="G4" i="9"/>
  <c r="G5" i="9"/>
  <c r="G6" i="9"/>
  <c r="G7" i="9"/>
  <c r="G8" i="9"/>
  <c r="G9" i="9"/>
  <c r="G10" i="9"/>
  <c r="G11" i="9"/>
  <c r="G12" i="9"/>
  <c r="G13" i="9"/>
  <c r="G14" i="9"/>
  <c r="G15" i="9"/>
  <c r="G16" i="9"/>
  <c r="G17" i="9"/>
  <c r="G18" i="9"/>
  <c r="G19" i="9"/>
  <c r="G20" i="9"/>
  <c r="G21" i="9"/>
  <c r="G22" i="9"/>
  <c r="G23" i="9"/>
  <c r="G24" i="9"/>
  <c r="G25" i="9"/>
  <c r="G26" i="9"/>
  <c r="G27" i="9"/>
  <c r="G28" i="9"/>
  <c r="G29" i="9"/>
  <c r="G30" i="9"/>
  <c r="G31" i="9"/>
  <c r="G32" i="9"/>
  <c r="G33" i="9"/>
  <c r="G34" i="9"/>
  <c r="G35" i="9"/>
  <c r="G36" i="9"/>
  <c r="G37" i="9"/>
  <c r="G38" i="9"/>
  <c r="G39" i="9"/>
  <c r="G40" i="9"/>
  <c r="G41" i="9"/>
  <c r="G42" i="9"/>
  <c r="G43" i="9"/>
  <c r="G44" i="9"/>
  <c r="G45" i="9"/>
  <c r="G46" i="9"/>
  <c r="G47" i="9"/>
  <c r="G48" i="9"/>
  <c r="G49" i="9"/>
  <c r="G50" i="9"/>
  <c r="G51" i="9"/>
  <c r="G52" i="9"/>
  <c r="G53" i="9"/>
  <c r="G54" i="9"/>
  <c r="G55" i="9"/>
  <c r="G56" i="9"/>
  <c r="G57" i="9"/>
  <c r="G58" i="9"/>
  <c r="G59" i="9"/>
  <c r="G60" i="9"/>
  <c r="G61" i="9"/>
  <c r="G62" i="9"/>
  <c r="G63" i="9"/>
  <c r="G64" i="9"/>
  <c r="G65" i="9"/>
  <c r="G66" i="9"/>
  <c r="G67" i="9"/>
  <c r="G68" i="9"/>
  <c r="G69" i="9"/>
  <c r="G70" i="9"/>
  <c r="G71" i="9"/>
  <c r="G72" i="9"/>
  <c r="G73" i="9"/>
  <c r="G74" i="9"/>
  <c r="G75" i="9"/>
  <c r="G76" i="9"/>
  <c r="G77" i="9"/>
  <c r="G78" i="9"/>
  <c r="G79" i="9"/>
  <c r="G80" i="9"/>
  <c r="G81" i="9"/>
  <c r="G82" i="9"/>
  <c r="G83" i="9"/>
  <c r="G84" i="9"/>
  <c r="G85" i="9"/>
  <c r="G86" i="9"/>
  <c r="G87" i="9"/>
  <c r="G88" i="9"/>
  <c r="G89" i="9"/>
  <c r="G90" i="9"/>
  <c r="G91" i="9"/>
  <c r="G92" i="9"/>
  <c r="G93" i="9"/>
  <c r="G94" i="9"/>
  <c r="G95" i="9"/>
  <c r="G96" i="9"/>
  <c r="G97" i="9"/>
  <c r="G98" i="9"/>
  <c r="G99" i="9"/>
  <c r="G100" i="9"/>
  <c r="G101" i="9"/>
  <c r="G102" i="9"/>
  <c r="G103" i="9"/>
  <c r="G104" i="9"/>
  <c r="G105" i="9"/>
  <c r="G106" i="9"/>
  <c r="G107" i="9"/>
  <c r="G108" i="9"/>
  <c r="G109" i="9"/>
  <c r="G110" i="9"/>
  <c r="G111" i="9"/>
  <c r="G112" i="9"/>
  <c r="G113" i="9"/>
  <c r="G114" i="9"/>
  <c r="G115" i="9"/>
  <c r="G116" i="9"/>
  <c r="G117" i="9"/>
  <c r="G118" i="9"/>
  <c r="G119" i="9"/>
  <c r="G120" i="9"/>
  <c r="G121" i="9"/>
  <c r="G122" i="9"/>
  <c r="G123" i="9"/>
  <c r="G124" i="9"/>
  <c r="G125" i="9"/>
  <c r="G126" i="9"/>
  <c r="G127" i="9"/>
  <c r="G128" i="9"/>
  <c r="G129" i="9"/>
  <c r="G130" i="9"/>
  <c r="G131" i="9"/>
  <c r="G132" i="9"/>
  <c r="G133" i="9"/>
  <c r="G134" i="9"/>
  <c r="G135" i="9"/>
  <c r="G136" i="9"/>
  <c r="G137" i="9"/>
  <c r="G138" i="9"/>
  <c r="G139" i="9"/>
  <c r="G140" i="9"/>
  <c r="G141" i="9"/>
  <c r="G142" i="9"/>
  <c r="G143" i="9"/>
  <c r="G144" i="9"/>
  <c r="G145" i="9"/>
  <c r="G146" i="9"/>
  <c r="G147" i="9"/>
  <c r="G148" i="9"/>
  <c r="G149" i="9"/>
  <c r="G150" i="9"/>
  <c r="G151" i="9"/>
  <c r="G152" i="9"/>
  <c r="G153" i="9"/>
  <c r="G154" i="9"/>
  <c r="G155" i="9"/>
  <c r="G156" i="9"/>
  <c r="G157" i="9"/>
  <c r="G158" i="9"/>
  <c r="G159" i="9"/>
  <c r="G160" i="9"/>
  <c r="G161" i="9"/>
  <c r="G162" i="9"/>
  <c r="G163" i="9"/>
  <c r="G164" i="9"/>
  <c r="G165" i="9"/>
  <c r="G166" i="9"/>
  <c r="G167" i="9"/>
  <c r="G168" i="9"/>
  <c r="G169" i="9"/>
  <c r="G170" i="9"/>
  <c r="G171" i="9"/>
  <c r="G172" i="9"/>
  <c r="G173" i="9"/>
  <c r="G174" i="9"/>
  <c r="G175" i="9"/>
  <c r="G176" i="9"/>
  <c r="G177" i="9"/>
  <c r="G178" i="9"/>
  <c r="G179" i="9"/>
  <c r="G180" i="9"/>
  <c r="G181" i="9"/>
  <c r="G182" i="9"/>
  <c r="G183" i="9"/>
  <c r="G184" i="9"/>
  <c r="G185" i="9"/>
  <c r="G186" i="9"/>
  <c r="G187" i="9"/>
  <c r="G188" i="9"/>
  <c r="G189" i="9"/>
  <c r="G190" i="9"/>
  <c r="G191" i="9"/>
  <c r="G192" i="9"/>
  <c r="G193" i="9"/>
  <c r="G194" i="9"/>
  <c r="G195" i="9"/>
  <c r="G196" i="9"/>
  <c r="G197" i="9"/>
  <c r="G198" i="9"/>
  <c r="G199" i="9"/>
  <c r="G200" i="9"/>
  <c r="G201" i="9"/>
  <c r="G202" i="9"/>
  <c r="G203" i="9"/>
  <c r="G204" i="9"/>
  <c r="G205" i="9"/>
  <c r="G206" i="9"/>
  <c r="G207" i="9"/>
  <c r="G208" i="9"/>
  <c r="G209" i="9"/>
  <c r="G210" i="9"/>
  <c r="G211" i="9"/>
  <c r="G212" i="9"/>
  <c r="G213" i="9"/>
  <c r="G214" i="9"/>
  <c r="G215" i="9"/>
  <c r="G216" i="9"/>
  <c r="G217" i="9"/>
  <c r="G218" i="9"/>
  <c r="G219" i="9"/>
  <c r="G220" i="9"/>
  <c r="G221" i="9"/>
  <c r="G222" i="9"/>
  <c r="G223" i="9"/>
  <c r="G224" i="9"/>
  <c r="G225" i="9"/>
  <c r="G226" i="9"/>
  <c r="G227" i="9"/>
  <c r="G228" i="9"/>
  <c r="G229" i="9"/>
  <c r="G230" i="9"/>
  <c r="G231" i="9"/>
  <c r="G232" i="9"/>
  <c r="G233" i="9"/>
  <c r="G234" i="9"/>
  <c r="G235" i="9"/>
  <c r="G236" i="9"/>
  <c r="G237" i="9"/>
  <c r="G238" i="9"/>
  <c r="G239" i="9"/>
  <c r="G240" i="9"/>
  <c r="G241" i="9"/>
  <c r="G242" i="9"/>
  <c r="G243" i="9"/>
  <c r="G244" i="9"/>
  <c r="G245" i="9"/>
  <c r="G246" i="9"/>
  <c r="G247" i="9"/>
  <c r="G248" i="9"/>
  <c r="G249" i="9"/>
  <c r="G250" i="9"/>
  <c r="G251" i="9"/>
  <c r="G252" i="9"/>
  <c r="G253" i="9"/>
  <c r="G254" i="9"/>
  <c r="G255" i="9"/>
  <c r="G256" i="9"/>
  <c r="G257" i="9"/>
  <c r="G258" i="9"/>
  <c r="G259" i="9"/>
  <c r="G260" i="9"/>
  <c r="G261" i="9"/>
  <c r="G262" i="9"/>
  <c r="G263" i="9"/>
  <c r="G264" i="9"/>
  <c r="G265" i="9"/>
  <c r="G266" i="9"/>
  <c r="G267" i="9"/>
  <c r="G268" i="9"/>
  <c r="G269" i="9"/>
  <c r="G270" i="9"/>
  <c r="G271" i="9"/>
  <c r="G272" i="9"/>
  <c r="G273" i="9"/>
  <c r="G274" i="9"/>
  <c r="G275" i="9"/>
  <c r="G276" i="9"/>
  <c r="G277" i="9"/>
  <c r="G278" i="9"/>
  <c r="G279" i="9"/>
  <c r="G280" i="9"/>
  <c r="G281" i="9"/>
  <c r="G282" i="9"/>
  <c r="G283" i="9"/>
  <c r="G284" i="9"/>
  <c r="G285" i="9"/>
  <c r="G286" i="9"/>
  <c r="G287" i="9"/>
  <c r="G288" i="9"/>
  <c r="G289" i="9"/>
  <c r="G290" i="9"/>
  <c r="G291" i="9"/>
  <c r="G292" i="9"/>
  <c r="G293" i="9"/>
  <c r="G294" i="9"/>
  <c r="G295" i="9"/>
  <c r="G296" i="9"/>
  <c r="G297" i="9"/>
  <c r="G298" i="9"/>
  <c r="G299" i="9"/>
  <c r="G300" i="9"/>
  <c r="G301" i="9"/>
  <c r="G302" i="9"/>
  <c r="G303" i="9"/>
  <c r="G304" i="9"/>
  <c r="G305" i="9"/>
  <c r="G306" i="9"/>
  <c r="G307" i="9"/>
  <c r="G308" i="9"/>
  <c r="G309" i="9"/>
  <c r="G310" i="9"/>
  <c r="G311" i="9"/>
  <c r="G312" i="9"/>
  <c r="G313" i="9"/>
  <c r="G314" i="9"/>
  <c r="G315" i="9"/>
  <c r="G316" i="9"/>
  <c r="G317" i="9"/>
  <c r="G318" i="9"/>
  <c r="G319" i="9"/>
  <c r="G320" i="9"/>
  <c r="G321" i="9"/>
  <c r="G322" i="9"/>
  <c r="G323" i="9"/>
  <c r="G324" i="9"/>
  <c r="G325" i="9"/>
  <c r="G326" i="9"/>
  <c r="G327" i="9"/>
  <c r="G328" i="9"/>
  <c r="G329" i="9"/>
  <c r="G330" i="9"/>
  <c r="G331" i="9"/>
  <c r="G332" i="9"/>
  <c r="G333" i="9"/>
  <c r="G334" i="9"/>
  <c r="G335" i="9"/>
  <c r="G336" i="9"/>
  <c r="G337" i="9"/>
  <c r="G338" i="9"/>
  <c r="G339" i="9"/>
  <c r="G340" i="9"/>
  <c r="G341" i="9"/>
  <c r="G342" i="9"/>
  <c r="G343" i="9"/>
  <c r="G344" i="9"/>
  <c r="G345" i="9"/>
  <c r="G346" i="9"/>
  <c r="G347" i="9"/>
  <c r="G348" i="9"/>
  <c r="G349" i="9"/>
  <c r="G350" i="9"/>
  <c r="G351" i="9"/>
  <c r="G352" i="9"/>
  <c r="G353" i="9"/>
  <c r="G354" i="9"/>
  <c r="G355" i="9"/>
  <c r="G356" i="9"/>
  <c r="G357" i="9"/>
  <c r="G358" i="9"/>
  <c r="G359" i="9"/>
  <c r="G360" i="9"/>
  <c r="G361" i="9"/>
  <c r="G362" i="9"/>
  <c r="G363" i="9"/>
  <c r="G364" i="9"/>
  <c r="G365" i="9"/>
  <c r="G366" i="9"/>
  <c r="G367" i="9"/>
  <c r="G368" i="9"/>
  <c r="G369" i="9"/>
  <c r="G370" i="9"/>
  <c r="G371" i="9"/>
  <c r="G372" i="9"/>
  <c r="G373" i="9"/>
  <c r="G374" i="9"/>
  <c r="G375" i="9"/>
  <c r="G376" i="9"/>
  <c r="G377" i="9"/>
  <c r="G378" i="9"/>
  <c r="G379" i="9"/>
  <c r="G380" i="9"/>
  <c r="G381" i="9"/>
  <c r="G382" i="9"/>
  <c r="G383" i="9"/>
  <c r="G384" i="9"/>
  <c r="G385" i="9"/>
  <c r="G386" i="9"/>
  <c r="G387" i="9"/>
  <c r="G388" i="9"/>
  <c r="G389" i="9"/>
  <c r="G390" i="9"/>
  <c r="G391" i="9"/>
  <c r="G392" i="9"/>
  <c r="G393" i="9"/>
  <c r="G394" i="9"/>
  <c r="G395" i="9"/>
  <c r="G396" i="9"/>
  <c r="G397" i="9"/>
  <c r="G398" i="9"/>
  <c r="G399" i="9"/>
  <c r="G400" i="9"/>
  <c r="G401" i="9"/>
  <c r="G402" i="9"/>
  <c r="G403" i="9"/>
  <c r="G404" i="9"/>
  <c r="G405" i="9"/>
  <c r="G406" i="9"/>
  <c r="G407" i="9"/>
  <c r="G408" i="9"/>
  <c r="G409" i="9"/>
  <c r="G410" i="9"/>
  <c r="G411" i="9"/>
  <c r="G412" i="9"/>
  <c r="G413" i="9"/>
  <c r="G414" i="9"/>
  <c r="G415" i="9"/>
  <c r="G416" i="9"/>
  <c r="G417" i="9"/>
  <c r="G418" i="9"/>
  <c r="G419" i="9"/>
  <c r="G420" i="9"/>
  <c r="G421" i="9"/>
  <c r="G422" i="9"/>
  <c r="G423" i="9"/>
  <c r="G424" i="9"/>
  <c r="G425" i="9"/>
  <c r="G426" i="9"/>
  <c r="G427" i="9"/>
  <c r="G428" i="9"/>
  <c r="G429" i="9"/>
  <c r="G430" i="9"/>
  <c r="G431" i="9"/>
  <c r="G432" i="9"/>
  <c r="G433" i="9"/>
  <c r="G434" i="9"/>
  <c r="G435" i="9"/>
  <c r="G436" i="9"/>
  <c r="G437" i="9"/>
  <c r="G438" i="9"/>
  <c r="G439" i="9"/>
  <c r="G440" i="9"/>
  <c r="G441" i="9"/>
  <c r="G442" i="9"/>
  <c r="G443" i="9"/>
  <c r="G444" i="9"/>
  <c r="G445" i="9"/>
  <c r="G446" i="9"/>
  <c r="G447" i="9"/>
  <c r="G448" i="9"/>
  <c r="G449" i="9"/>
  <c r="G450" i="9"/>
  <c r="G451" i="9"/>
  <c r="G452" i="9"/>
  <c r="G453" i="9"/>
  <c r="G454" i="9"/>
  <c r="G455" i="9"/>
  <c r="G456" i="9"/>
  <c r="G457" i="9"/>
  <c r="G458" i="9"/>
  <c r="G459" i="9"/>
  <c r="G460" i="9"/>
  <c r="G461" i="9"/>
  <c r="G462" i="9"/>
  <c r="G463" i="9"/>
  <c r="G464" i="9"/>
  <c r="G465" i="9"/>
  <c r="G466" i="9"/>
  <c r="G467" i="9"/>
  <c r="G468" i="9"/>
  <c r="G469" i="9"/>
  <c r="G470" i="9"/>
  <c r="G471" i="9"/>
  <c r="G472" i="9"/>
  <c r="G473" i="9"/>
  <c r="G474" i="9"/>
  <c r="G475" i="9"/>
  <c r="G476" i="9"/>
  <c r="G477" i="9"/>
  <c r="G478" i="9"/>
  <c r="G479" i="9"/>
  <c r="G480" i="9"/>
  <c r="G481" i="9"/>
  <c r="G482" i="9"/>
  <c r="G483" i="9"/>
  <c r="G484" i="9"/>
  <c r="G485" i="9"/>
  <c r="G486" i="9"/>
  <c r="G487" i="9"/>
  <c r="G488" i="9"/>
  <c r="G489" i="9"/>
  <c r="G490" i="9"/>
  <c r="G491" i="9"/>
  <c r="G492" i="9"/>
  <c r="G493" i="9"/>
  <c r="G494" i="9"/>
  <c r="G495" i="9"/>
  <c r="G496" i="9"/>
  <c r="G497" i="9"/>
  <c r="G498" i="9"/>
  <c r="G499" i="9"/>
  <c r="G500" i="9"/>
  <c r="G501" i="9"/>
  <c r="G502" i="9"/>
  <c r="G503" i="9"/>
  <c r="G504" i="9"/>
  <c r="G505" i="9"/>
  <c r="G506" i="9"/>
  <c r="G507" i="9"/>
  <c r="G508" i="9"/>
  <c r="G509" i="9"/>
  <c r="G510" i="9"/>
  <c r="G511" i="9"/>
  <c r="G512" i="9"/>
  <c r="G513" i="9"/>
  <c r="G514" i="9"/>
  <c r="G515" i="9"/>
  <c r="G516" i="9"/>
  <c r="G517" i="9"/>
  <c r="G518" i="9"/>
  <c r="G519" i="9"/>
  <c r="G520" i="9"/>
  <c r="G521" i="9"/>
  <c r="G522" i="9"/>
  <c r="G523" i="9"/>
  <c r="G524" i="9"/>
  <c r="G525" i="9"/>
  <c r="G526" i="9"/>
  <c r="G527" i="9"/>
  <c r="G528" i="9"/>
  <c r="G529" i="9"/>
  <c r="G530" i="9"/>
  <c r="G531" i="9"/>
  <c r="G532" i="9"/>
  <c r="G533" i="9"/>
  <c r="G534" i="9"/>
  <c r="G535" i="9"/>
  <c r="G536" i="9"/>
  <c r="G537" i="9"/>
  <c r="G538" i="9"/>
  <c r="G539" i="9"/>
  <c r="G540" i="9"/>
  <c r="G541" i="9"/>
  <c r="G542" i="9"/>
  <c r="G543" i="9"/>
  <c r="G544" i="9"/>
  <c r="G545" i="9"/>
  <c r="G546" i="9"/>
  <c r="G547" i="9"/>
  <c r="G548" i="9"/>
  <c r="G549" i="9"/>
  <c r="G550" i="9"/>
  <c r="G551" i="9"/>
  <c r="G552" i="9"/>
  <c r="G553" i="9"/>
  <c r="G554" i="9"/>
  <c r="G555" i="9"/>
  <c r="G556" i="9"/>
  <c r="G557" i="9"/>
  <c r="G558" i="9"/>
  <c r="G559" i="9"/>
  <c r="G560" i="9"/>
  <c r="G561" i="9"/>
  <c r="G562" i="9"/>
  <c r="G563" i="9"/>
  <c r="G564" i="9"/>
  <c r="G565" i="9"/>
  <c r="G566" i="9"/>
  <c r="G567" i="9"/>
  <c r="G568" i="9"/>
  <c r="G569" i="9"/>
  <c r="G570" i="9"/>
  <c r="G571" i="9"/>
  <c r="G572" i="9"/>
  <c r="G573" i="9"/>
  <c r="G574" i="9"/>
  <c r="G575" i="9"/>
  <c r="G576" i="9"/>
  <c r="G577" i="9"/>
  <c r="G578" i="9"/>
  <c r="G579" i="9"/>
  <c r="G580" i="9"/>
  <c r="G581" i="9"/>
  <c r="G582" i="9"/>
  <c r="G583" i="9"/>
  <c r="G584" i="9"/>
  <c r="G585" i="9"/>
  <c r="G586" i="9"/>
  <c r="G587" i="9"/>
  <c r="G588" i="9"/>
  <c r="G589" i="9"/>
  <c r="G590" i="9"/>
  <c r="G591" i="9"/>
  <c r="G592" i="9"/>
  <c r="G593" i="9"/>
  <c r="G594" i="9"/>
  <c r="G595" i="9"/>
  <c r="G596" i="9"/>
  <c r="G597" i="9"/>
  <c r="G598" i="9"/>
  <c r="G599" i="9"/>
  <c r="G600" i="9"/>
  <c r="G601" i="9"/>
  <c r="G602" i="9"/>
  <c r="G603" i="9"/>
  <c r="G604" i="9"/>
  <c r="G605" i="9"/>
  <c r="G606" i="9"/>
  <c r="G607" i="9"/>
  <c r="G608" i="9"/>
  <c r="G609" i="9"/>
  <c r="G610" i="9"/>
  <c r="G611" i="9"/>
  <c r="G612" i="9"/>
  <c r="G613" i="9"/>
  <c r="G614" i="9"/>
  <c r="G615" i="9"/>
  <c r="G616" i="9"/>
  <c r="G617" i="9"/>
  <c r="G618" i="9"/>
  <c r="G619" i="9"/>
  <c r="G620" i="9"/>
  <c r="G621" i="9"/>
  <c r="G622" i="9"/>
  <c r="G623" i="9"/>
  <c r="G624" i="9"/>
  <c r="G625" i="9"/>
  <c r="G626" i="9"/>
  <c r="G627" i="9"/>
  <c r="G628" i="9"/>
  <c r="G629" i="9"/>
  <c r="G630" i="9"/>
  <c r="G631" i="9"/>
  <c r="G632" i="9"/>
  <c r="G633" i="9"/>
  <c r="G634" i="9"/>
  <c r="G635" i="9"/>
  <c r="G636" i="9"/>
  <c r="G637" i="9"/>
  <c r="G638" i="9"/>
  <c r="G639" i="9"/>
  <c r="G640" i="9"/>
  <c r="G641" i="9"/>
  <c r="G642" i="9"/>
  <c r="G643" i="9"/>
  <c r="G644" i="9"/>
  <c r="G645" i="9"/>
  <c r="G646" i="9"/>
  <c r="G647" i="9"/>
  <c r="G648" i="9"/>
  <c r="G649" i="9"/>
  <c r="G650" i="9"/>
  <c r="G651" i="9"/>
  <c r="G652" i="9"/>
  <c r="G653" i="9"/>
  <c r="G654" i="9"/>
  <c r="G655" i="9"/>
  <c r="G656" i="9"/>
  <c r="G657" i="9"/>
  <c r="G658" i="9"/>
  <c r="G659" i="9"/>
  <c r="G660" i="9"/>
  <c r="G661" i="9"/>
  <c r="G662" i="9"/>
  <c r="G663" i="9"/>
  <c r="G664" i="9"/>
  <c r="G665" i="9"/>
  <c r="G666" i="9"/>
  <c r="G667" i="9"/>
  <c r="G668" i="9"/>
  <c r="G669" i="9"/>
  <c r="G670" i="9"/>
  <c r="G671" i="9"/>
  <c r="G672" i="9"/>
  <c r="G673" i="9"/>
  <c r="G674" i="9"/>
  <c r="G675" i="9"/>
  <c r="G676" i="9"/>
  <c r="G677" i="9"/>
  <c r="G678" i="9"/>
  <c r="G679" i="9"/>
  <c r="G680" i="9"/>
  <c r="G681" i="9"/>
  <c r="G682" i="9"/>
  <c r="G683" i="9"/>
  <c r="G684" i="9"/>
  <c r="G685" i="9"/>
  <c r="G686" i="9"/>
  <c r="G687" i="9"/>
  <c r="G688" i="9"/>
  <c r="G689" i="9"/>
  <c r="G690" i="9"/>
  <c r="G691" i="9"/>
  <c r="G692" i="9"/>
  <c r="G693" i="9"/>
  <c r="G694" i="9"/>
  <c r="G695" i="9"/>
  <c r="G696" i="9"/>
  <c r="G697" i="9"/>
  <c r="G698" i="9"/>
  <c r="G699" i="9"/>
  <c r="G700" i="9"/>
  <c r="G701" i="9"/>
  <c r="G702" i="9"/>
  <c r="G703" i="9"/>
  <c r="G704" i="9"/>
  <c r="G705" i="9"/>
  <c r="G706" i="9"/>
  <c r="G707" i="9"/>
  <c r="G708" i="9"/>
  <c r="G709" i="9"/>
  <c r="G710" i="9"/>
  <c r="G711" i="9"/>
  <c r="G712" i="9"/>
  <c r="G713" i="9"/>
  <c r="G714" i="9"/>
  <c r="G715" i="9"/>
  <c r="G716" i="9"/>
  <c r="G717" i="9"/>
  <c r="G718" i="9"/>
  <c r="G719" i="9"/>
  <c r="G720" i="9"/>
  <c r="G721" i="9"/>
  <c r="G722" i="9"/>
  <c r="G723" i="9"/>
  <c r="G724" i="9"/>
  <c r="G725" i="9"/>
  <c r="G726" i="9"/>
  <c r="G727" i="9"/>
  <c r="G728" i="9"/>
  <c r="G729" i="9"/>
  <c r="G1" i="9"/>
  <c r="B2" i="9"/>
  <c r="B3" i="9"/>
  <c r="B4" i="9"/>
  <c r="B5" i="9"/>
  <c r="B6" i="9"/>
  <c r="B7" i="9"/>
  <c r="B8" i="9"/>
  <c r="B9" i="9"/>
  <c r="B10" i="9"/>
  <c r="B11" i="9"/>
  <c r="B12" i="9"/>
  <c r="B13" i="9"/>
  <c r="B14" i="9"/>
  <c r="B15" i="9"/>
  <c r="B16" i="9"/>
  <c r="B17" i="9"/>
  <c r="B18" i="9"/>
  <c r="B19" i="9"/>
  <c r="B20" i="9"/>
  <c r="B21" i="9"/>
  <c r="B22" i="9"/>
  <c r="B23" i="9"/>
  <c r="B24" i="9"/>
  <c r="B25" i="9"/>
  <c r="B26" i="9"/>
  <c r="B27" i="9"/>
  <c r="B28" i="9"/>
  <c r="B29" i="9"/>
  <c r="B30" i="9"/>
  <c r="B31" i="9"/>
  <c r="B32" i="9"/>
  <c r="B33" i="9"/>
  <c r="B34" i="9"/>
  <c r="B35" i="9"/>
  <c r="B36" i="9"/>
  <c r="B37" i="9"/>
  <c r="B38" i="9"/>
  <c r="B39" i="9"/>
  <c r="B40" i="9"/>
  <c r="B41" i="9"/>
  <c r="B42" i="9"/>
  <c r="B43" i="9"/>
  <c r="B44" i="9"/>
  <c r="B45" i="9"/>
  <c r="B46" i="9"/>
  <c r="B47" i="9"/>
  <c r="B48" i="9"/>
  <c r="B49" i="9"/>
  <c r="B50" i="9"/>
  <c r="B51" i="9"/>
  <c r="B52" i="9"/>
  <c r="B53" i="9"/>
  <c r="B54" i="9"/>
  <c r="B55" i="9"/>
  <c r="B56" i="9"/>
  <c r="B57" i="9"/>
  <c r="B58" i="9"/>
  <c r="B59" i="9"/>
  <c r="B60" i="9"/>
  <c r="B61" i="9"/>
  <c r="B62" i="9"/>
  <c r="B63" i="9"/>
  <c r="B64" i="9"/>
  <c r="B65" i="9"/>
  <c r="B66" i="9"/>
  <c r="B67" i="9"/>
  <c r="B68" i="9"/>
  <c r="B69" i="9"/>
  <c r="B70" i="9"/>
  <c r="B71" i="9"/>
  <c r="B72" i="9"/>
  <c r="B73" i="9"/>
  <c r="B74" i="9"/>
  <c r="B75" i="9"/>
  <c r="B76" i="9"/>
  <c r="B77" i="9"/>
  <c r="B78" i="9"/>
  <c r="B79" i="9"/>
  <c r="B80" i="9"/>
  <c r="B81" i="9"/>
  <c r="B82" i="9"/>
  <c r="B83" i="9"/>
  <c r="B84" i="9"/>
  <c r="B85" i="9"/>
  <c r="B86" i="9"/>
  <c r="B87" i="9"/>
  <c r="B88" i="9"/>
  <c r="B89" i="9"/>
  <c r="B90" i="9"/>
  <c r="B91" i="9"/>
  <c r="B92" i="9"/>
  <c r="B93" i="9"/>
  <c r="B94" i="9"/>
  <c r="B95" i="9"/>
  <c r="B96" i="9"/>
  <c r="B97" i="9"/>
  <c r="B98" i="9"/>
  <c r="B99" i="9"/>
  <c r="B100" i="9"/>
  <c r="B101" i="9"/>
  <c r="B102" i="9"/>
  <c r="B103" i="9"/>
  <c r="B104" i="9"/>
  <c r="B105" i="9"/>
  <c r="B106" i="9"/>
  <c r="B107" i="9"/>
  <c r="B108" i="9"/>
  <c r="B109" i="9"/>
  <c r="B110" i="9"/>
  <c r="B111" i="9"/>
  <c r="B112" i="9"/>
  <c r="B113" i="9"/>
  <c r="B114" i="9"/>
  <c r="B115" i="9"/>
  <c r="B116" i="9"/>
  <c r="B117" i="9"/>
  <c r="B118" i="9"/>
  <c r="B119" i="9"/>
  <c r="B120" i="9"/>
  <c r="B121" i="9"/>
  <c r="B122" i="9"/>
  <c r="B123" i="9"/>
  <c r="B124" i="9"/>
  <c r="B125" i="9"/>
  <c r="B126" i="9"/>
  <c r="B127" i="9"/>
  <c r="B128" i="9"/>
  <c r="B129" i="9"/>
  <c r="B130" i="9"/>
  <c r="B131" i="9"/>
  <c r="B132" i="9"/>
  <c r="B133" i="9"/>
  <c r="B134" i="9"/>
  <c r="B135" i="9"/>
  <c r="B136" i="9"/>
  <c r="B137" i="9"/>
  <c r="B138" i="9"/>
  <c r="B139" i="9"/>
  <c r="B140" i="9"/>
  <c r="B141" i="9"/>
  <c r="B142" i="9"/>
  <c r="B143" i="9"/>
  <c r="B144" i="9"/>
  <c r="B145" i="9"/>
  <c r="B146" i="9"/>
  <c r="B147" i="9"/>
  <c r="B148" i="9"/>
  <c r="B149" i="9"/>
  <c r="B150" i="9"/>
  <c r="B151" i="9"/>
  <c r="B152" i="9"/>
  <c r="B153" i="9"/>
  <c r="B154" i="9"/>
  <c r="B155" i="9"/>
  <c r="B156" i="9"/>
  <c r="B157" i="9"/>
  <c r="B158" i="9"/>
  <c r="B159" i="9"/>
  <c r="B160" i="9"/>
  <c r="B161" i="9"/>
  <c r="B162" i="9"/>
  <c r="B163" i="9"/>
  <c r="B164" i="9"/>
  <c r="B165" i="9"/>
  <c r="B166" i="9"/>
  <c r="B167" i="9"/>
  <c r="B168" i="9"/>
  <c r="B169" i="9"/>
  <c r="B170" i="9"/>
  <c r="B171" i="9"/>
  <c r="B172" i="9"/>
  <c r="B173" i="9"/>
  <c r="B174" i="9"/>
  <c r="B175" i="9"/>
  <c r="B176" i="9"/>
  <c r="B177" i="9"/>
  <c r="B178" i="9"/>
  <c r="B179" i="9"/>
  <c r="B180" i="9"/>
  <c r="B181" i="9"/>
  <c r="B182" i="9"/>
  <c r="B183" i="9"/>
  <c r="B184" i="9"/>
  <c r="B185" i="9"/>
  <c r="B186" i="9"/>
  <c r="B187" i="9"/>
  <c r="B188" i="9"/>
  <c r="B189" i="9"/>
  <c r="B190" i="9"/>
  <c r="B191" i="9"/>
  <c r="B192" i="9"/>
  <c r="B193" i="9"/>
  <c r="B194" i="9"/>
  <c r="B195" i="9"/>
  <c r="B196" i="9"/>
  <c r="B197" i="9"/>
  <c r="B198" i="9"/>
  <c r="B199" i="9"/>
  <c r="B200" i="9"/>
  <c r="B201" i="9"/>
  <c r="B202" i="9"/>
  <c r="B203" i="9"/>
  <c r="B204" i="9"/>
  <c r="B205" i="9"/>
  <c r="B206" i="9"/>
  <c r="B207" i="9"/>
  <c r="B208" i="9"/>
  <c r="B209" i="9"/>
  <c r="B210" i="9"/>
  <c r="B211" i="9"/>
  <c r="B212" i="9"/>
  <c r="B213" i="9"/>
  <c r="B214" i="9"/>
  <c r="B215" i="9"/>
  <c r="B216" i="9"/>
  <c r="B217" i="9"/>
  <c r="B218" i="9"/>
  <c r="B219" i="9"/>
  <c r="B220" i="9"/>
  <c r="B221" i="9"/>
  <c r="B222" i="9"/>
  <c r="B223" i="9"/>
  <c r="B224" i="9"/>
  <c r="B225" i="9"/>
  <c r="B226" i="9"/>
  <c r="B227" i="9"/>
  <c r="B228" i="9"/>
  <c r="B229" i="9"/>
  <c r="B230" i="9"/>
  <c r="B231" i="9"/>
  <c r="B232" i="9"/>
  <c r="B233" i="9"/>
  <c r="B234" i="9"/>
  <c r="B235" i="9"/>
  <c r="B236" i="9"/>
  <c r="B237" i="9"/>
  <c r="B238" i="9"/>
  <c r="B239" i="9"/>
  <c r="B240" i="9"/>
  <c r="B241" i="9"/>
  <c r="B242" i="9"/>
  <c r="B243" i="9"/>
  <c r="B244" i="9"/>
  <c r="B245" i="9"/>
  <c r="B246" i="9"/>
  <c r="B247" i="9"/>
  <c r="B248" i="9"/>
  <c r="B249" i="9"/>
  <c r="B250" i="9"/>
  <c r="B251" i="9"/>
  <c r="B252" i="9"/>
  <c r="B253" i="9"/>
  <c r="B254" i="9"/>
  <c r="B255" i="9"/>
  <c r="B256" i="9"/>
  <c r="B257" i="9"/>
  <c r="B258" i="9"/>
  <c r="B259" i="9"/>
  <c r="B260" i="9"/>
  <c r="B261" i="9"/>
  <c r="B262" i="9"/>
  <c r="B263" i="9"/>
  <c r="B264" i="9"/>
  <c r="B265" i="9"/>
  <c r="B266" i="9"/>
  <c r="B267" i="9"/>
  <c r="B268" i="9"/>
  <c r="B269" i="9"/>
  <c r="B270" i="9"/>
  <c r="B271" i="9"/>
  <c r="B272" i="9"/>
  <c r="B273" i="9"/>
  <c r="B274" i="9"/>
  <c r="B275" i="9"/>
  <c r="B276" i="9"/>
  <c r="B277" i="9"/>
  <c r="B278" i="9"/>
  <c r="B279" i="9"/>
  <c r="B280" i="9"/>
  <c r="B281" i="9"/>
  <c r="B282" i="9"/>
  <c r="B283" i="9"/>
  <c r="B284" i="9"/>
  <c r="B285" i="9"/>
  <c r="B286" i="9"/>
  <c r="B287" i="9"/>
  <c r="B288" i="9"/>
  <c r="B289" i="9"/>
  <c r="B290" i="9"/>
  <c r="B291" i="9"/>
  <c r="B292" i="9"/>
  <c r="B293" i="9"/>
  <c r="B294" i="9"/>
  <c r="B295" i="9"/>
  <c r="B296" i="9"/>
  <c r="B297" i="9"/>
  <c r="B298" i="9"/>
  <c r="B299" i="9"/>
  <c r="B300" i="9"/>
  <c r="B301" i="9"/>
  <c r="B302" i="9"/>
  <c r="B303" i="9"/>
  <c r="B304" i="9"/>
  <c r="B305" i="9"/>
  <c r="B306" i="9"/>
  <c r="B307" i="9"/>
  <c r="B308" i="9"/>
  <c r="B309" i="9"/>
  <c r="B310" i="9"/>
  <c r="B311" i="9"/>
  <c r="B312" i="9"/>
  <c r="B313" i="9"/>
  <c r="B314" i="9"/>
  <c r="B315" i="9"/>
  <c r="B316" i="9"/>
  <c r="B317" i="9"/>
  <c r="B318" i="9"/>
  <c r="B319" i="9"/>
  <c r="B320" i="9"/>
  <c r="B321" i="9"/>
  <c r="B322" i="9"/>
  <c r="B323" i="9"/>
  <c r="B324" i="9"/>
  <c r="B325" i="9"/>
  <c r="B326" i="9"/>
  <c r="B327" i="9"/>
  <c r="B328" i="9"/>
  <c r="B329" i="9"/>
  <c r="B330" i="9"/>
  <c r="B331" i="9"/>
  <c r="B332" i="9"/>
  <c r="B333" i="9"/>
  <c r="B334" i="9"/>
  <c r="B335" i="9"/>
  <c r="B336" i="9"/>
  <c r="B337" i="9"/>
  <c r="B338" i="9"/>
  <c r="B339" i="9"/>
  <c r="B340" i="9"/>
  <c r="B341" i="9"/>
  <c r="B342" i="9"/>
  <c r="B343" i="9"/>
  <c r="B344" i="9"/>
  <c r="B345" i="9"/>
  <c r="B346" i="9"/>
  <c r="B347" i="9"/>
  <c r="B348" i="9"/>
  <c r="B349" i="9"/>
  <c r="B350" i="9"/>
  <c r="B351" i="9"/>
  <c r="B352" i="9"/>
  <c r="B353" i="9"/>
  <c r="B354" i="9"/>
  <c r="B355" i="9"/>
  <c r="B356" i="9"/>
  <c r="B357" i="9"/>
  <c r="B358" i="9"/>
  <c r="B359" i="9"/>
  <c r="B360" i="9"/>
  <c r="B361" i="9"/>
  <c r="B362" i="9"/>
  <c r="B363" i="9"/>
  <c r="B364" i="9"/>
  <c r="B365" i="9"/>
  <c r="B366" i="9"/>
  <c r="B367" i="9"/>
  <c r="B368" i="9"/>
  <c r="B369" i="9"/>
  <c r="B370" i="9"/>
  <c r="B371" i="9"/>
  <c r="B372" i="9"/>
  <c r="B373" i="9"/>
  <c r="B374" i="9"/>
  <c r="B375" i="9"/>
  <c r="B376" i="9"/>
  <c r="B377" i="9"/>
  <c r="B378" i="9"/>
  <c r="B379" i="9"/>
  <c r="B380" i="9"/>
  <c r="B381" i="9"/>
  <c r="B382" i="9"/>
  <c r="B383" i="9"/>
  <c r="B384" i="9"/>
  <c r="B385" i="9"/>
  <c r="B386" i="9"/>
  <c r="B387" i="9"/>
  <c r="B388" i="9"/>
  <c r="B389" i="9"/>
  <c r="B390" i="9"/>
  <c r="B391" i="9"/>
  <c r="B392" i="9"/>
  <c r="B393" i="9"/>
  <c r="B394" i="9"/>
  <c r="B395" i="9"/>
  <c r="B396" i="9"/>
  <c r="B397" i="9"/>
  <c r="B398" i="9"/>
  <c r="B399" i="9"/>
  <c r="B400" i="9"/>
  <c r="B401" i="9"/>
  <c r="B402" i="9"/>
  <c r="B403" i="9"/>
  <c r="B404" i="9"/>
  <c r="B405" i="9"/>
  <c r="B406" i="9"/>
  <c r="B407" i="9"/>
  <c r="B408" i="9"/>
  <c r="B409" i="9"/>
  <c r="B410" i="9"/>
  <c r="B411" i="9"/>
  <c r="B412" i="9"/>
  <c r="B413" i="9"/>
  <c r="B414" i="9"/>
  <c r="B415" i="9"/>
  <c r="B416" i="9"/>
  <c r="B417" i="9"/>
  <c r="B418" i="9"/>
  <c r="B419" i="9"/>
  <c r="B420" i="9"/>
  <c r="B421" i="9"/>
  <c r="B422" i="9"/>
  <c r="B423" i="9"/>
  <c r="B424" i="9"/>
  <c r="B425" i="9"/>
  <c r="B426" i="9"/>
  <c r="B427" i="9"/>
  <c r="B428" i="9"/>
  <c r="B429" i="9"/>
  <c r="B430" i="9"/>
  <c r="B431" i="9"/>
  <c r="B432" i="9"/>
  <c r="B433" i="9"/>
  <c r="B434" i="9"/>
  <c r="B435" i="9"/>
  <c r="B436" i="9"/>
  <c r="B437" i="9"/>
  <c r="B438" i="9"/>
  <c r="B439" i="9"/>
  <c r="B440" i="9"/>
  <c r="B441" i="9"/>
  <c r="B442" i="9"/>
  <c r="B443" i="9"/>
  <c r="B444" i="9"/>
  <c r="B445" i="9"/>
  <c r="B446" i="9"/>
  <c r="B447" i="9"/>
  <c r="B448" i="9"/>
  <c r="B449" i="9"/>
  <c r="B450" i="9"/>
  <c r="B451" i="9"/>
  <c r="B452" i="9"/>
  <c r="B453" i="9"/>
  <c r="B454" i="9"/>
  <c r="B455" i="9"/>
  <c r="B456" i="9"/>
  <c r="B457" i="9"/>
  <c r="B458" i="9"/>
  <c r="B459" i="9"/>
  <c r="B460" i="9"/>
  <c r="B461" i="9"/>
  <c r="B462" i="9"/>
  <c r="B463" i="9"/>
  <c r="B464" i="9"/>
  <c r="B465" i="9"/>
  <c r="B466" i="9"/>
  <c r="B467" i="9"/>
  <c r="B468" i="9"/>
  <c r="B469" i="9"/>
  <c r="B470" i="9"/>
  <c r="B471" i="9"/>
  <c r="B472" i="9"/>
  <c r="B473" i="9"/>
  <c r="B474" i="9"/>
  <c r="B475" i="9"/>
  <c r="B476" i="9"/>
  <c r="B477" i="9"/>
  <c r="B478" i="9"/>
  <c r="B479" i="9"/>
  <c r="B480" i="9"/>
  <c r="B481" i="9"/>
  <c r="B482" i="9"/>
  <c r="B483" i="9"/>
  <c r="B484" i="9"/>
  <c r="B485" i="9"/>
  <c r="B486" i="9"/>
  <c r="B487" i="9"/>
  <c r="B488" i="9"/>
  <c r="B489" i="9"/>
  <c r="B490" i="9"/>
  <c r="B491" i="9"/>
  <c r="B492" i="9"/>
  <c r="B493" i="9"/>
  <c r="B494" i="9"/>
  <c r="B495" i="9"/>
  <c r="B496" i="9"/>
  <c r="B497" i="9"/>
  <c r="B498" i="9"/>
  <c r="B499" i="9"/>
  <c r="B500" i="9"/>
  <c r="B501" i="9"/>
  <c r="B502" i="9"/>
  <c r="B503" i="9"/>
  <c r="B504" i="9"/>
  <c r="B505" i="9"/>
  <c r="B506" i="9"/>
  <c r="B507" i="9"/>
  <c r="B508" i="9"/>
  <c r="B509" i="9"/>
  <c r="B510" i="9"/>
  <c r="B511" i="9"/>
  <c r="B512" i="9"/>
  <c r="B513" i="9"/>
  <c r="B514" i="9"/>
  <c r="B515" i="9"/>
  <c r="B516" i="9"/>
  <c r="B517" i="9"/>
  <c r="B518" i="9"/>
  <c r="B519" i="9"/>
  <c r="B520" i="9"/>
  <c r="B521" i="9"/>
  <c r="B522" i="9"/>
  <c r="B523" i="9"/>
  <c r="B524" i="9"/>
  <c r="B525" i="9"/>
  <c r="B526" i="9"/>
  <c r="B527" i="9"/>
  <c r="B528" i="9"/>
  <c r="B529" i="9"/>
  <c r="B530" i="9"/>
  <c r="B531" i="9"/>
  <c r="B532" i="9"/>
  <c r="B533" i="9"/>
  <c r="B534" i="9"/>
  <c r="B535" i="9"/>
  <c r="B536" i="9"/>
  <c r="B537" i="9"/>
  <c r="B538" i="9"/>
  <c r="B539" i="9"/>
  <c r="B540" i="9"/>
  <c r="B541" i="9"/>
  <c r="B542" i="9"/>
  <c r="B543" i="9"/>
  <c r="B544" i="9"/>
  <c r="B545" i="9"/>
  <c r="B546" i="9"/>
  <c r="B547" i="9"/>
  <c r="B548" i="9"/>
  <c r="B549" i="9"/>
  <c r="B550" i="9"/>
  <c r="B551" i="9"/>
  <c r="B552" i="9"/>
  <c r="B553" i="9"/>
  <c r="B554" i="9"/>
  <c r="B555" i="9"/>
  <c r="B556" i="9"/>
  <c r="B557" i="9"/>
  <c r="B558" i="9"/>
  <c r="B559" i="9"/>
  <c r="B560" i="9"/>
  <c r="B561" i="9"/>
  <c r="B562" i="9"/>
  <c r="B563" i="9"/>
  <c r="B564" i="9"/>
  <c r="B565" i="9"/>
  <c r="B566" i="9"/>
  <c r="B567" i="9"/>
  <c r="B568" i="9"/>
  <c r="B569" i="9"/>
  <c r="B570" i="9"/>
  <c r="B571" i="9"/>
  <c r="B572" i="9"/>
  <c r="B573" i="9"/>
  <c r="B574" i="9"/>
  <c r="B575" i="9"/>
  <c r="B576" i="9"/>
  <c r="B577" i="9"/>
  <c r="B578" i="9"/>
  <c r="B579" i="9"/>
  <c r="B580" i="9"/>
  <c r="B581" i="9"/>
  <c r="B582" i="9"/>
  <c r="B583" i="9"/>
  <c r="B584" i="9"/>
  <c r="B585" i="9"/>
  <c r="B586" i="9"/>
  <c r="B587" i="9"/>
  <c r="B588" i="9"/>
  <c r="B589" i="9"/>
  <c r="B590" i="9"/>
  <c r="B591" i="9"/>
  <c r="B592" i="9"/>
  <c r="B593" i="9"/>
  <c r="B594" i="9"/>
  <c r="B595" i="9"/>
  <c r="B596" i="9"/>
  <c r="B597" i="9"/>
  <c r="B598" i="9"/>
  <c r="B599" i="9"/>
  <c r="B600" i="9"/>
  <c r="B601" i="9"/>
  <c r="B602" i="9"/>
  <c r="B603" i="9"/>
  <c r="B604" i="9"/>
  <c r="B605" i="9"/>
  <c r="B606" i="9"/>
  <c r="B607" i="9"/>
  <c r="B608" i="9"/>
  <c r="B609" i="9"/>
  <c r="B610" i="9"/>
  <c r="B611" i="9"/>
  <c r="B612" i="9"/>
  <c r="B613" i="9"/>
  <c r="B614" i="9"/>
  <c r="B615" i="9"/>
  <c r="B616" i="9"/>
  <c r="B617" i="9"/>
  <c r="B618" i="9"/>
  <c r="B619" i="9"/>
  <c r="B620" i="9"/>
  <c r="B621" i="9"/>
  <c r="B622" i="9"/>
  <c r="B623" i="9"/>
  <c r="B624" i="9"/>
  <c r="B625" i="9"/>
  <c r="B626" i="9"/>
  <c r="B627" i="9"/>
  <c r="B628" i="9"/>
  <c r="B629" i="9"/>
  <c r="B630" i="9"/>
  <c r="B631" i="9"/>
  <c r="B632" i="9"/>
  <c r="B633" i="9"/>
  <c r="B634" i="9"/>
  <c r="B635" i="9"/>
  <c r="B636" i="9"/>
  <c r="B637" i="9"/>
  <c r="B638" i="9"/>
  <c r="B639" i="9"/>
  <c r="B640" i="9"/>
  <c r="B641" i="9"/>
  <c r="B642" i="9"/>
  <c r="B643" i="9"/>
  <c r="B644" i="9"/>
  <c r="B645" i="9"/>
  <c r="B646" i="9"/>
  <c r="B647" i="9"/>
  <c r="B648" i="9"/>
  <c r="B649" i="9"/>
  <c r="B650" i="9"/>
  <c r="B651" i="9"/>
  <c r="B652" i="9"/>
  <c r="B653" i="9"/>
  <c r="B654" i="9"/>
  <c r="B655" i="9"/>
  <c r="B656" i="9"/>
  <c r="B657" i="9"/>
  <c r="B658" i="9"/>
  <c r="B659" i="9"/>
  <c r="B660" i="9"/>
  <c r="B661" i="9"/>
  <c r="B662" i="9"/>
  <c r="B663" i="9"/>
  <c r="B664" i="9"/>
  <c r="B665" i="9"/>
  <c r="B666" i="9"/>
  <c r="B667" i="9"/>
  <c r="B668" i="9"/>
  <c r="B669" i="9"/>
  <c r="B670" i="9"/>
  <c r="B671" i="9"/>
  <c r="B672" i="9"/>
  <c r="B673" i="9"/>
  <c r="B674" i="9"/>
  <c r="B675" i="9"/>
  <c r="B676" i="9"/>
  <c r="B677" i="9"/>
  <c r="B678" i="9"/>
  <c r="B679" i="9"/>
  <c r="B680" i="9"/>
  <c r="B681" i="9"/>
  <c r="B682" i="9"/>
  <c r="B683" i="9"/>
  <c r="B684" i="9"/>
  <c r="B685" i="9"/>
  <c r="B686" i="9"/>
  <c r="B687" i="9"/>
  <c r="B688" i="9"/>
  <c r="B689" i="9"/>
  <c r="B690" i="9"/>
  <c r="B691" i="9"/>
  <c r="B692" i="9"/>
  <c r="B693" i="9"/>
  <c r="B694" i="9"/>
  <c r="B695" i="9"/>
  <c r="B696" i="9"/>
  <c r="B697" i="9"/>
  <c r="B698" i="9"/>
  <c r="B699" i="9"/>
  <c r="B700" i="9"/>
  <c r="B701" i="9"/>
  <c r="B702" i="9"/>
  <c r="B703" i="9"/>
  <c r="B704" i="9"/>
  <c r="B705" i="9"/>
  <c r="B706" i="9"/>
  <c r="B707" i="9"/>
  <c r="B708" i="9"/>
  <c r="B709" i="9"/>
  <c r="B710" i="9"/>
  <c r="B711" i="9"/>
  <c r="B712" i="9"/>
  <c r="B713" i="9"/>
  <c r="B714" i="9"/>
  <c r="B715" i="9"/>
  <c r="B716" i="9"/>
  <c r="B717" i="9"/>
  <c r="B718" i="9"/>
  <c r="B719" i="9"/>
  <c r="B720" i="9"/>
  <c r="B721" i="9"/>
  <c r="B722" i="9"/>
  <c r="B723" i="9"/>
  <c r="B724" i="9"/>
  <c r="B725" i="9"/>
  <c r="B726" i="9"/>
  <c r="B727" i="9"/>
  <c r="B728" i="9"/>
  <c r="B729" i="9"/>
  <c r="B730" i="9"/>
  <c r="B731" i="9"/>
  <c r="B732" i="9"/>
  <c r="B733" i="9"/>
  <c r="B734" i="9"/>
  <c r="B735" i="9"/>
  <c r="B736" i="9"/>
  <c r="B737" i="9"/>
  <c r="B738" i="9"/>
  <c r="B739" i="9"/>
  <c r="B740" i="9"/>
  <c r="B741" i="9"/>
  <c r="B742" i="9"/>
  <c r="B743" i="9"/>
  <c r="B744" i="9"/>
  <c r="B745" i="9"/>
  <c r="B746" i="9"/>
  <c r="B747" i="9"/>
  <c r="B748" i="9"/>
  <c r="B749" i="9"/>
  <c r="B750" i="9"/>
  <c r="B751" i="9"/>
  <c r="B752" i="9"/>
  <c r="B753" i="9"/>
  <c r="B754" i="9"/>
  <c r="B755" i="9"/>
  <c r="B756" i="9"/>
  <c r="B757" i="9"/>
  <c r="B758" i="9"/>
  <c r="B759" i="9"/>
  <c r="B760" i="9"/>
  <c r="B761" i="9"/>
  <c r="B762" i="9"/>
  <c r="B763" i="9"/>
  <c r="B764" i="9"/>
  <c r="B765" i="9"/>
  <c r="B766" i="9"/>
  <c r="B767" i="9"/>
  <c r="B768" i="9"/>
  <c r="B769" i="9"/>
  <c r="B770" i="9"/>
  <c r="B771" i="9"/>
  <c r="B772" i="9"/>
  <c r="B773" i="9"/>
  <c r="B774" i="9"/>
  <c r="B775" i="9"/>
  <c r="B776" i="9"/>
  <c r="B777" i="9"/>
  <c r="B778" i="9"/>
  <c r="B779" i="9"/>
  <c r="B780" i="9"/>
  <c r="B781" i="9"/>
  <c r="B782" i="9"/>
  <c r="B783" i="9"/>
  <c r="B784" i="9"/>
  <c r="B785" i="9"/>
  <c r="B786" i="9"/>
  <c r="B787" i="9"/>
  <c r="B788" i="9"/>
  <c r="B789" i="9"/>
  <c r="B790" i="9"/>
  <c r="B791" i="9"/>
  <c r="B792" i="9"/>
  <c r="B793" i="9"/>
  <c r="B794" i="9"/>
  <c r="B795" i="9"/>
  <c r="B796" i="9"/>
  <c r="B797" i="9"/>
  <c r="B798" i="9"/>
  <c r="B799" i="9"/>
  <c r="B800" i="9"/>
  <c r="B801" i="9"/>
  <c r="B802" i="9"/>
  <c r="B803" i="9"/>
  <c r="B804" i="9"/>
  <c r="B805" i="9"/>
  <c r="B806" i="9"/>
  <c r="B807" i="9"/>
  <c r="B808" i="9"/>
  <c r="B809" i="9"/>
  <c r="B810" i="9"/>
  <c r="B811" i="9"/>
  <c r="B812" i="9"/>
  <c r="B813" i="9"/>
  <c r="B814" i="9"/>
  <c r="B815" i="9"/>
  <c r="B816" i="9"/>
  <c r="B817" i="9"/>
  <c r="B818" i="9"/>
  <c r="B819" i="9"/>
  <c r="B820" i="9"/>
  <c r="B821" i="9"/>
  <c r="B822" i="9"/>
  <c r="B823" i="9"/>
  <c r="B1" i="9"/>
  <c r="L79" i="1"/>
  <c r="L83" i="1"/>
  <c r="L80" i="1"/>
  <c r="L89" i="1"/>
  <c r="L88" i="1"/>
  <c r="L77" i="1"/>
  <c r="L86" i="1"/>
  <c r="L74" i="1"/>
  <c r="L82" i="1"/>
  <c r="L72" i="1"/>
  <c r="L81" i="1"/>
  <c r="L73" i="1"/>
  <c r="L84" i="1"/>
  <c r="L85" i="1"/>
  <c r="L78" i="1"/>
  <c r="L76" i="1"/>
  <c r="L75" i="1"/>
  <c r="L71" i="1"/>
  <c r="L87" i="1"/>
  <c r="L61" i="1"/>
  <c r="L62" i="1"/>
  <c r="L64" i="1"/>
  <c r="L65" i="1"/>
  <c r="L60" i="1"/>
  <c r="L63" i="1"/>
  <c r="L66" i="1"/>
  <c r="L36" i="1"/>
  <c r="L34" i="1"/>
  <c r="L50" i="1"/>
  <c r="L42" i="1"/>
  <c r="L70" i="1"/>
  <c r="L55" i="1"/>
  <c r="L57" i="1"/>
  <c r="L46" i="1"/>
  <c r="L37" i="1"/>
  <c r="L51" i="1"/>
  <c r="L58" i="1"/>
  <c r="L52" i="1"/>
  <c r="L39" i="1"/>
  <c r="L40" i="1"/>
  <c r="L44" i="1"/>
  <c r="L43" i="1"/>
  <c r="L45" i="1"/>
  <c r="L47" i="1"/>
  <c r="L48" i="1"/>
  <c r="L38" i="1"/>
  <c r="L8" i="1"/>
  <c r="L23" i="1"/>
  <c r="L24" i="1"/>
  <c r="L15" i="1"/>
  <c r="L16" i="1"/>
  <c r="L31" i="1"/>
  <c r="L3" i="1"/>
  <c r="L20" i="1"/>
  <c r="L28" i="1"/>
  <c r="L7" i="1"/>
  <c r="L12" i="1"/>
  <c r="L5" i="1"/>
  <c r="L17" i="1"/>
  <c r="L25" i="1"/>
  <c r="L29" i="1"/>
  <c r="L32" i="1"/>
  <c r="L18" i="1"/>
  <c r="L33" i="1"/>
  <c r="L19" i="1"/>
  <c r="L11" i="1"/>
  <c r="L26" i="1"/>
  <c r="L69" i="1"/>
  <c r="L21" i="1"/>
  <c r="L27" i="1"/>
  <c r="L22" i="1"/>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6" i="2"/>
  <c r="F25" i="2"/>
  <c r="L67" i="1"/>
  <c r="L41" i="1"/>
  <c r="L35" i="1"/>
  <c r="L14" i="1"/>
  <c r="L49" i="1"/>
  <c r="L6" i="1"/>
  <c r="L68" i="1"/>
  <c r="L4" i="1"/>
  <c r="L9" i="1"/>
  <c r="L10" i="1"/>
  <c r="L13" i="1"/>
  <c r="L30" i="1"/>
  <c r="L5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MPONELA, Powell (CIMMYT-Nepal)</author>
  </authors>
  <commentList>
    <comment ref="N1" authorId="0" shapeId="0" xr:uid="{03290A4E-E886-42C7-9991-E118BB0778E7}">
      <text>
        <r>
          <rPr>
            <sz val="9"/>
            <color indexed="81"/>
            <rFont val="Tahoma"/>
            <family val="2"/>
          </rPr>
          <t xml:space="preserve">Based on the context, indicate whether the term is used as
t-theory
p-practice
a-analytical
0-out of context
If it applies to two, list
ap- analytical and application
pt- practice and theory
</t>
        </r>
      </text>
    </comment>
    <comment ref="O1" authorId="0" shapeId="0" xr:uid="{7A037F16-493E-491E-905A-1263A4E010B2}">
      <text>
        <r>
          <rPr>
            <sz val="9"/>
            <color indexed="81"/>
            <rFont val="Tahoma"/>
            <family val="2"/>
          </rPr>
          <t>Based on the scale it is used, indicated whether the term is used at
f-field/farm
l-landscape
g-regional/global
0-out of context</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<sst xmlns="http://schemas.openxmlformats.org/spreadsheetml/2006/main" count="13588" uniqueCount="2491">
  <si>
    <t>Short_name</t>
  </si>
  <si>
    <t>Framework</t>
  </si>
  <si>
    <t>CIAT-ISFM</t>
  </si>
  <si>
    <t>Integrated Soil Fertility Management (ISFM)</t>
  </si>
  <si>
    <t>CICES</t>
  </si>
  <si>
    <t>Common International Classification of Ecosystem Services</t>
  </si>
  <si>
    <t>EEA-SMEITSHA</t>
  </si>
  <si>
    <t>Soil monitoring in Europe — Indicators and thresholds for soil health assessments</t>
  </si>
  <si>
    <t>EJP-SIREN</t>
  </si>
  <si>
    <t>stocktaking for agricultural soil quality and ecosystem services indicators and their reference values</t>
  </si>
  <si>
    <t>MEA</t>
  </si>
  <si>
    <t>Millennium Ecosystem Assessment</t>
  </si>
  <si>
    <t>MESMIS</t>
  </si>
  <si>
    <t>Evaluating the sustainability of complex socio-environmental systems. the MESMIS framework</t>
  </si>
  <si>
    <t>nestle-RAF</t>
  </si>
  <si>
    <t>Nestle - Regenerative Agriculture Framework</t>
  </si>
  <si>
    <t>Stockdale-CFMSH</t>
  </si>
  <si>
    <t>Conceptual framework underpinning management of soil health</t>
  </si>
  <si>
    <t>Tittonel-sysageco</t>
  </si>
  <si>
    <t>A Systems Approach to Agroecology</t>
  </si>
  <si>
    <t>CAADP</t>
  </si>
  <si>
    <t xml:space="preserve">Comprehensive Africa Agriculture Development Programme </t>
  </si>
  <si>
    <t>CBD</t>
  </si>
  <si>
    <t>Convention on Biological Diversity</t>
  </si>
  <si>
    <t>EU-SS2030</t>
  </si>
  <si>
    <t>EU Soil Strategy for 2030</t>
  </si>
  <si>
    <t>FAO-ALMSFA</t>
  </si>
  <si>
    <t>Approaches to landscape management for sustainable food and agriculture</t>
  </si>
  <si>
    <t>FAO-VGSSM</t>
  </si>
  <si>
    <t>Voluntary Guidelines for Sustainable Soil Management</t>
  </si>
  <si>
    <t>IFDC-FSHA</t>
  </si>
  <si>
    <t xml:space="preserve">Fertilizer and Soil Health in Africa </t>
  </si>
  <si>
    <t>MN-SHAF</t>
  </si>
  <si>
    <t>Minnesota soil health action framework</t>
  </si>
  <si>
    <t>SI4AF</t>
  </si>
  <si>
    <t>Soil Initiative for Africa- Framework Document</t>
  </si>
  <si>
    <t>Andrews-SMAF</t>
  </si>
  <si>
    <t>Soil Management Assessment Framework</t>
  </si>
  <si>
    <t>CBD-NEA</t>
  </si>
  <si>
    <t>NATIONAL ECOSYSTEM ASSESSMENTS TO SUPPORT IMPLEMENTATION oF THE
CONVENTION ON BIOLOGICAL DIVERSITY</t>
  </si>
  <si>
    <t>Common_4returns</t>
  </si>
  <si>
    <t>Commonland 2024 The 4 Returns Framework</t>
  </si>
  <si>
    <t>FSAT</t>
  </si>
  <si>
    <t>Food Systems Analysis Toolkit A Tool to Accelerate Food Systems Transformation</t>
  </si>
  <si>
    <t>IDS-SRLF</t>
  </si>
  <si>
    <t>Sustainable Rural Livelihoods Framework</t>
  </si>
  <si>
    <t>IFA-G4RNutStewF</t>
  </si>
  <si>
    <t>The Global “4R” Nutrient Stewardship Framework</t>
  </si>
  <si>
    <t>IPES-FOOD</t>
  </si>
  <si>
    <t>International Panel of Experts on Sustainable Food Systems (IPES-Food): "The Political Economy of Agroecology"</t>
  </si>
  <si>
    <t>LDN_CF_journal</t>
  </si>
  <si>
    <t>Land in balance: The scientific conceptual framework for Land Degradation Neutrality</t>
  </si>
  <si>
    <t>UNCCD-ILM</t>
  </si>
  <si>
    <t>Integrated Landscape Management</t>
  </si>
  <si>
    <t>UNCCD-LDN</t>
  </si>
  <si>
    <t>SCIENTIFIC CONCEPTUAL FRAMEWORK FOR LAND DEGRADATION NEUTRALITY</t>
  </si>
  <si>
    <t>USDA-CFSHAG</t>
  </si>
  <si>
    <t>Cropland in-field soil health assessment guide</t>
  </si>
  <si>
    <t>Wezel-TAPE</t>
  </si>
  <si>
    <t>Fao Agroecology Framework</t>
  </si>
  <si>
    <t>WRI-EHWB</t>
  </si>
  <si>
    <t>Ecosystem and Human Well Being: A framawork for Assessment</t>
  </si>
  <si>
    <t>4RNS-INUE</t>
  </si>
  <si>
    <t>4R Nutrient Stewardship for Improved Nutrient Use Efficiency</t>
  </si>
  <si>
    <t>cgiar-ll</t>
  </si>
  <si>
    <t>Engaging with stakeholders for initiating agroecological transition in Living Landscapes</t>
  </si>
  <si>
    <t>FAO-agroecology</t>
  </si>
  <si>
    <t>THE 10 ELEMENTS  OF AGROECOLOGY GUIDING THE TRANSITION TO SUSTAINABLE FOOD AND AGRICULTURAL SYSTEMS</t>
  </si>
  <si>
    <t>FAO-GSPAF</t>
  </si>
  <si>
    <t>Global Soil Partnership Action Framework 2022-2030</t>
  </si>
  <si>
    <t>LA4AA</t>
  </si>
  <si>
    <t>Landscape Approach for Agriculture and Agroforestry</t>
  </si>
  <si>
    <t>Lehmann-FPSH</t>
  </si>
  <si>
    <t>The concept and future prospects of soil health</t>
  </si>
  <si>
    <t>Montg-SHOHPH</t>
  </si>
  <si>
    <t xml:space="preserve">Soil health: A common focus for one health and planetary health interventions </t>
  </si>
  <si>
    <t>Permaculture</t>
  </si>
  <si>
    <t>Permaculture principles and pathways beyond sustainability</t>
  </si>
  <si>
    <t>Ploeg-PEAE</t>
  </si>
  <si>
    <t>The political economy of agro-ecology</t>
  </si>
  <si>
    <t>SAI-RAAG</t>
  </si>
  <si>
    <t>Regenerating Together: A global framework for regenerative agriculture</t>
  </si>
  <si>
    <t>Sayer_LA</t>
  </si>
  <si>
    <t>Ten principles for a landscape approach to reconciling agriculture, conservation, and other competing land uses</t>
  </si>
  <si>
    <t>Steve-AESSHF</t>
  </si>
  <si>
    <t>AES White Paper: Defining Soil Health Within the Context of Ecosystem Health—A Framework</t>
  </si>
  <si>
    <t>TEEB</t>
  </si>
  <si>
    <t>The Economics of Ecosystems and Biodiversity</t>
  </si>
  <si>
    <t>Jian-DGSHA</t>
  </si>
  <si>
    <t>A database for global soil health assessment</t>
  </si>
  <si>
    <t>Birner-PEPSA</t>
  </si>
  <si>
    <t>The Political Economy of Policies for Smallholder Agriculture</t>
  </si>
  <si>
    <t>Cornell-SHMF</t>
  </si>
  <si>
    <t>Soil Health Management Framework</t>
  </si>
  <si>
    <t>FAO-ESFS</t>
  </si>
  <si>
    <t>ENABLING SUSTAINABLE FOOD SYSTEMS</t>
  </si>
  <si>
    <t>ILM-Practical</t>
  </si>
  <si>
    <t>A Practical Guide to Integrated Landscape Management</t>
  </si>
  <si>
    <t>TGSN</t>
  </si>
  <si>
    <t>Technical guidelines on soils for nutrition</t>
  </si>
  <si>
    <t>Arshad-SQI</t>
  </si>
  <si>
    <t>Identifying critical limits for soil quality indicators in agro-ecosystems</t>
  </si>
  <si>
    <t>CAADPresult</t>
  </si>
  <si>
    <t>CAADP Results framework 2015-2025</t>
  </si>
  <si>
    <t>Cornell-CASH</t>
  </si>
  <si>
    <t>Comprehensive Assessment of Soil Health (CASH) Framework</t>
  </si>
  <si>
    <t>Deel-SEMWISE</t>
  </si>
  <si>
    <t>Devine-RSCFISH</t>
  </si>
  <si>
    <t>Regional soil classification frmaework for imrpoving soil health</t>
  </si>
  <si>
    <t>EJP-SHTTAS</t>
  </si>
  <si>
    <t>A framework for setting soil health targets and thresholds in agricultural soils</t>
  </si>
  <si>
    <t>FAO-PASSM</t>
  </si>
  <si>
    <t>Protocol for the assessment of Sustainable Soil Management</t>
  </si>
  <si>
    <t>FAO-TAPE</t>
  </si>
  <si>
    <t>TAPE Tool for Agroecology Performance Evaluation 2019</t>
  </si>
  <si>
    <t>FtF_GSIAF</t>
  </si>
  <si>
    <t xml:space="preserve">Guide for SI Assessment Framework </t>
  </si>
  <si>
    <t>Integrated Landscape Management Tool Guide</t>
  </si>
  <si>
    <t>Karlen_SMAFT</t>
  </si>
  <si>
    <t xml:space="preserve">SMAF: A Soil Health Assessment Tool </t>
  </si>
  <si>
    <t>Nunes-SHAPE</t>
  </si>
  <si>
    <t>The soil health assessment protocol and evaluation applied to soilorganic carbon</t>
  </si>
  <si>
    <t>Ros-OSHAFSSM</t>
  </si>
  <si>
    <t>An Open Soil Health Assessment Framework Facilitating SustainableSoil Management</t>
  </si>
  <si>
    <t>SKI-Lstoolkit</t>
  </si>
  <si>
    <t>Agroecology at a landscape level - Toolkit for facilitators</t>
  </si>
  <si>
    <t>SIAF</t>
  </si>
  <si>
    <t>Guide for the Sustainable Intensification Assessment Framework</t>
  </si>
  <si>
    <t>4RF</t>
  </si>
  <si>
    <t xml:space="preserve">The 4 Returns Framework </t>
  </si>
  <si>
    <t>ILA_2020</t>
  </si>
  <si>
    <t>Vermunt et al. 2020 - Integrated Landscape Approach Barriers</t>
  </si>
  <si>
    <t>ES4L</t>
  </si>
  <si>
    <t>Triomphe et al. 2022 - Engaging Stakeholders for Landscapes</t>
  </si>
  <si>
    <t>TDFG</t>
  </si>
  <si>
    <t>Transdisciplinary Field Guide 2019 - Utrecht University</t>
  </si>
  <si>
    <t>SGGWP</t>
  </si>
  <si>
    <t>Summary of Great Green Wall Process</t>
  </si>
  <si>
    <t>LT</t>
  </si>
  <si>
    <t>SKI 2021 - AE Landscape Toolkit</t>
  </si>
  <si>
    <t>PLA</t>
  </si>
  <si>
    <t>Sayer et al. 2012 - 10 Principles for Landscape Approach</t>
  </si>
  <si>
    <t>FSDT</t>
  </si>
  <si>
    <t>Posthumus et al. 2023 - Food Systems Decision Support Toolkit</t>
  </si>
  <si>
    <t>ILA_2017</t>
  </si>
  <si>
    <t>FAO 2017 Integrated Landscape Approach</t>
  </si>
  <si>
    <t>ESFSIH</t>
  </si>
  <si>
    <t>FAO INRAE 2020 - Enabling Sustainable Food Systems Innovators Handbook</t>
  </si>
  <si>
    <t>FSAT_2021</t>
  </si>
  <si>
    <t>Food Systems Analysis Toolkit 2021</t>
  </si>
  <si>
    <t>FRN_2017</t>
  </si>
  <si>
    <t>FRN Principles Updated 2017</t>
  </si>
  <si>
    <t>ILA_2024</t>
  </si>
  <si>
    <t>Geheb 2024 - Integrated Landscape Approaches</t>
  </si>
  <si>
    <t>PA</t>
  </si>
  <si>
    <t>HLPE Source - 13 Principles of Agroecology</t>
  </si>
  <si>
    <t>pILA</t>
  </si>
  <si>
    <t>PILA (Participatory Informed Landscape Approach) Landscapes</t>
  </si>
  <si>
    <t>IMLTG</t>
  </si>
  <si>
    <t>ILM Tool Guide</t>
  </si>
  <si>
    <t>IMLPG</t>
  </si>
  <si>
    <t>ILM Practical Guide DEC22</t>
  </si>
  <si>
    <t>ALL</t>
  </si>
  <si>
    <t>Voss et al. 2024 - Agroecological Living Landscapes (ALL) Toolkit</t>
  </si>
  <si>
    <t>SAA</t>
  </si>
  <si>
    <t>Criteria</t>
  </si>
  <si>
    <t>Principle</t>
  </si>
  <si>
    <t>Indicator</t>
  </si>
  <si>
    <t>economic</t>
  </si>
  <si>
    <t>Economic diversification</t>
  </si>
  <si>
    <t>“economic”</t>
  </si>
  <si>
    <t xml:space="preserve"> “economic diversification”</t>
  </si>
  <si>
    <t xml:space="preserve"> “value chains”</t>
  </si>
  <si>
    <t>Connectivity</t>
  </si>
  <si>
    <t>“fairness”</t>
  </si>
  <si>
    <t xml:space="preserve"> “equitable”</t>
  </si>
  <si>
    <t xml:space="preserve"> “social just"</t>
  </si>
  <si>
    <t xml:space="preserve"> prices”</t>
  </si>
  <si>
    <t xml:space="preserve"> “markets”</t>
  </si>
  <si>
    <t xml:space="preserve"> “decent jobs”</t>
  </si>
  <si>
    <t xml:space="preserve"> “respectable”</t>
  </si>
  <si>
    <t xml:space="preserve"> “quality”</t>
  </si>
  <si>
    <t xml:space="preserve"> “working conditions”</t>
  </si>
  <si>
    <t xml:space="preserve"> “labor”</t>
  </si>
  <si>
    <t xml:space="preserve"> “employment”</t>
  </si>
  <si>
    <t xml:space="preserve"> “traditional knowledge”</t>
  </si>
  <si>
    <t xml:space="preserve"> “protection”</t>
  </si>
  <si>
    <t xml:space="preserve"> “preservation”</t>
  </si>
  <si>
    <t xml:space="preserve"> “indigenous”</t>
  </si>
  <si>
    <t xml:space="preserve"> “safeguarding”</t>
  </si>
  <si>
    <t xml:space="preserve"> “practices”</t>
  </si>
  <si>
    <t xml:space="preserve"> “intellectual property”</t>
  </si>
  <si>
    <t xml:space="preserve"> “rights</t>
  </si>
  <si>
    <t xml:space="preserve"> laws”</t>
  </si>
  <si>
    <t>Land and natural resource governance</t>
  </si>
  <si>
    <t>“consumers and producers”</t>
  </si>
  <si>
    <t xml:space="preserve"> “food chain”</t>
  </si>
  <si>
    <t xml:space="preserve"> “procurement”</t>
  </si>
  <si>
    <t xml:space="preserve"> “cooperatives”</t>
  </si>
  <si>
    <t xml:space="preserve"> “organisations”</t>
  </si>
  <si>
    <t xml:space="preserve"> “community group”</t>
  </si>
  <si>
    <t xml:space="preserve"> “connections”</t>
  </si>
  <si>
    <t>social</t>
  </si>
  <si>
    <t>Co-creation of knowledge</t>
  </si>
  <si>
    <t>“co-creation”</t>
  </si>
  <si>
    <t xml:space="preserve"> “knowledge”</t>
  </si>
  <si>
    <t xml:space="preserve"> “farmer-to-farmer”</t>
  </si>
  <si>
    <t xml:space="preserve"> “learning”</t>
  </si>
  <si>
    <t xml:space="preserve"> “peer</t>
  </si>
  <si>
    <t xml:space="preserve"> information”</t>
  </si>
  <si>
    <t xml:space="preserve"> “sharing”</t>
  </si>
  <si>
    <t xml:space="preserve"> “transfer”</t>
  </si>
  <si>
    <t xml:space="preserve"> “traditional”</t>
  </si>
  <si>
    <t xml:space="preserve"> “indigenous knowledge”</t>
  </si>
  <si>
    <t xml:space="preserve"> “dissemination”</t>
  </si>
  <si>
    <t xml:space="preserve"> “wisdom”</t>
  </si>
  <si>
    <t>Social values and diets</t>
  </si>
  <si>
    <t>“social”</t>
  </si>
  <si>
    <t xml:space="preserve"> “diets”</t>
  </si>
  <si>
    <t xml:space="preserve"> “cultural foods”</t>
  </si>
  <si>
    <t xml:space="preserve"> “indigenous crops”</t>
  </si>
  <si>
    <t xml:space="preserve"> “heritage”</t>
  </si>
  <si>
    <t xml:space="preserve"> “uniqueness”</t>
  </si>
  <si>
    <t xml:space="preserve"> “tradition”</t>
  </si>
  <si>
    <t xml:space="preserve"> “customs”</t>
  </si>
  <si>
    <t xml:space="preserve"> “culturally”</t>
  </si>
  <si>
    <t xml:space="preserve"> “relevant”</t>
  </si>
  <si>
    <t xml:space="preserve"> “healthy”</t>
  </si>
  <si>
    <t xml:space="preserve"> “nutritious”</t>
  </si>
  <si>
    <t xml:space="preserve"> “balanced diet”</t>
  </si>
  <si>
    <t>Fairness</t>
  </si>
  <si>
    <t xml:space="preserve"> “fair trade”</t>
  </si>
  <si>
    <t xml:space="preserve"> “power”</t>
  </si>
  <si>
    <t xml:space="preserve"> “relations”</t>
  </si>
  <si>
    <t xml:space="preserve"> “network”</t>
  </si>
  <si>
    <t xml:space="preserve"> “just”</t>
  </si>
  <si>
    <t xml:space="preserve"> “fair price”</t>
  </si>
  <si>
    <t xml:space="preserve"> “market”</t>
  </si>
  <si>
    <t xml:space="preserve"> “intellectual property rights”</t>
  </si>
  <si>
    <t xml:space="preserve"> “rights”</t>
  </si>
  <si>
    <t xml:space="preserve"> “laws”</t>
  </si>
  <si>
    <t>Participation</t>
  </si>
  <si>
    <t>“equitable”</t>
  </si>
  <si>
    <t xml:space="preserve"> “ownership”</t>
  </si>
  <si>
    <t xml:space="preserve"> “inclusive”</t>
  </si>
  <si>
    <t xml:space="preserve"> “participation”</t>
  </si>
  <si>
    <t xml:space="preserve"> “broad”</t>
  </si>
  <si>
    <t xml:space="preserve"> “diverse”</t>
  </si>
  <si>
    <t xml:space="preserve"> “marginalized”</t>
  </si>
  <si>
    <t xml:space="preserve"> “groups”</t>
  </si>
  <si>
    <t xml:space="preserve"> “underrepresented”</t>
  </si>
  <si>
    <t xml:space="preserve"> “decision-making”</t>
  </si>
  <si>
    <t xml:space="preserve"> “policy-making”</t>
  </si>
  <si>
    <t xml:space="preserve"> “governance”</t>
  </si>
  <si>
    <t xml:space="preserve"> “community-based”</t>
  </si>
  <si>
    <t xml:space="preserve"> “participatory”</t>
  </si>
  <si>
    <t>environmental</t>
  </si>
  <si>
    <t xml:space="preserve">Recycling </t>
  </si>
  <si>
    <t>“recycling”</t>
  </si>
  <si>
    <t xml:space="preserve"> “nutrient cycling”</t>
  </si>
  <si>
    <t xml:space="preserve"> “cycles”</t>
  </si>
  <si>
    <t xml:space="preserve"> “cycling”</t>
  </si>
  <si>
    <t xml:space="preserve"> “recovery”</t>
  </si>
  <si>
    <t xml:space="preserve"> “biomass”</t>
  </si>
  <si>
    <t xml:space="preserve"> “organic”</t>
  </si>
  <si>
    <t xml:space="preserve"> “waste”</t>
  </si>
  <si>
    <t xml:space="preserve"> “wastewater”</t>
  </si>
  <si>
    <t>” greywater”</t>
  </si>
  <si>
    <t xml:space="preserve"> “reuse”</t>
  </si>
  <si>
    <t xml:space="preserve"> “water”</t>
  </si>
  <si>
    <t xml:space="preserve"> “reclamation”</t>
  </si>
  <si>
    <t xml:space="preserve"> rainwater”</t>
  </si>
  <si>
    <t xml:space="preserve"> “harvesting”</t>
  </si>
  <si>
    <t xml:space="preserve"> “reusable”</t>
  </si>
  <si>
    <t xml:space="preserve"> “recyclable”</t>
  </si>
  <si>
    <t xml:space="preserve">Soil health </t>
  </si>
  <si>
    <t>“soil”</t>
  </si>
  <si>
    <t xml:space="preserve"> “health”</t>
  </si>
  <si>
    <t xml:space="preserve"> “microbial”</t>
  </si>
  <si>
    <t xml:space="preserve"> “manure”</t>
  </si>
  <si>
    <t xml:space="preserve"> “vermicomposting”</t>
  </si>
  <si>
    <t xml:space="preserve"> “worm”</t>
  </si>
  <si>
    <t xml:space="preserve"> “composting”</t>
  </si>
  <si>
    <t xml:space="preserve"> “permaculture”</t>
  </si>
  <si>
    <t xml:space="preserve"> “permanent”</t>
  </si>
  <si>
    <t xml:space="preserve"> “organic farming”</t>
  </si>
  <si>
    <t xml:space="preserve"> “mulching”</t>
  </si>
  <si>
    <t xml:space="preserve"> “soil cover”</t>
  </si>
  <si>
    <t xml:space="preserve"> “organic matter”</t>
  </si>
  <si>
    <t xml:space="preserve"> “soil amendment”</t>
  </si>
  <si>
    <t xml:space="preserve"> “cover crops”</t>
  </si>
  <si>
    <t xml:space="preserve"> “biochar”</t>
  </si>
  <si>
    <t xml:space="preserve"> “crop residues”</t>
  </si>
  <si>
    <t>Biodiversity</t>
  </si>
  <si>
    <t>“biodiversity”</t>
  </si>
  <si>
    <t xml:space="preserve"> “diversity”</t>
  </si>
  <si>
    <t xml:space="preserve"> “crop diversity”</t>
  </si>
  <si>
    <t xml:space="preserve"> “species”</t>
  </si>
  <si>
    <t xml:space="preserve"> “pollinators”</t>
  </si>
  <si>
    <t xml:space="preserve"> “pollinating</t>
  </si>
  <si>
    <t xml:space="preserve"> insects”</t>
  </si>
  <si>
    <t xml:space="preserve"> “pest”</t>
  </si>
  <si>
    <t xml:space="preserve"> “natural” “predators”</t>
  </si>
  <si>
    <t xml:space="preserve"> “rotation”</t>
  </si>
  <si>
    <t xml:space="preserve"> “forest”</t>
  </si>
  <si>
    <t xml:space="preserve"> “woodland”</t>
  </si>
  <si>
    <t>Synergy</t>
  </si>
  <si>
    <t>“synergy”</t>
  </si>
  <si>
    <t xml:space="preserve"> “agroecological”</t>
  </si>
  <si>
    <t xml:space="preserve"> “agroecology”</t>
  </si>
  <si>
    <t xml:space="preserve"> “redesign”</t>
  </si>
  <si>
    <t xml:space="preserve"> “ecological”</t>
  </si>
  <si>
    <t xml:space="preserve"> “diversification”</t>
  </si>
  <si>
    <t xml:space="preserve"> “biodiversity”</t>
  </si>
  <si>
    <t xml:space="preserve"> “variety”</t>
  </si>
  <si>
    <t xml:space="preserve"> “planting”</t>
  </si>
  <si>
    <t xml:space="preserve"> “intercropping”</t>
  </si>
  <si>
    <t xml:space="preserve"> “mixed”</t>
  </si>
  <si>
    <t xml:space="preserve"> “cropping”</t>
  </si>
  <si>
    <t xml:space="preserve"> “integrated”</t>
  </si>
  <si>
    <t xml:space="preserve"> “holistic”</t>
  </si>
  <si>
    <t xml:space="preserve"> “circular”</t>
  </si>
  <si>
    <t xml:space="preserve"> “habitat”</t>
  </si>
  <si>
    <t xml:space="preserve"> “ecosystem”</t>
  </si>
  <si>
    <t xml:space="preserve"> “stewardship”</t>
  </si>
  <si>
    <t xml:space="preserve"> “landscape”</t>
  </si>
  <si>
    <t>technical</t>
  </si>
  <si>
    <t xml:space="preserve">Input reduction </t>
  </si>
  <si>
    <t>“reduction”</t>
  </si>
  <si>
    <t xml:space="preserve"> “preventative”</t>
  </si>
  <si>
    <t xml:space="preserve"> “preventive”</t>
  </si>
  <si>
    <t xml:space="preserve"> “nitrogen fixing”</t>
  </si>
  <si>
    <t xml:space="preserve"> “nitrogen fixation”</t>
  </si>
  <si>
    <t xml:space="preserve"> “leguminous”</t>
  </si>
  <si>
    <t xml:space="preserve"> “biological”</t>
  </si>
  <si>
    <t xml:space="preserve"> “natural control”</t>
  </si>
  <si>
    <t xml:space="preserve"> “conservation”</t>
  </si>
  <si>
    <t xml:space="preserve"> “storage”</t>
  </si>
  <si>
    <t xml:space="preserve"> “retention”</t>
  </si>
  <si>
    <t xml:space="preserve"> “efficient”</t>
  </si>
  <si>
    <t xml:space="preserve"> “efficiency”</t>
  </si>
  <si>
    <t xml:space="preserve"> “renewable”</t>
  </si>
  <si>
    <t xml:space="preserve"> “generate”</t>
  </si>
  <si>
    <t xml:space="preserve"> “sustainable”</t>
  </si>
  <si>
    <t xml:space="preserve"> “farm-saved”</t>
  </si>
  <si>
    <t xml:space="preserve">Animal health </t>
  </si>
  <si>
    <t>“animal health”</t>
  </si>
  <si>
    <t xml:space="preserve"> “resilient breed”</t>
  </si>
  <si>
    <t xml:space="preserve"> “indigenous breed”</t>
  </si>
  <si>
    <t xml:space="preserve"> “carrying capacity”</t>
  </si>
  <si>
    <t xml:space="preserve"> “alignment”</t>
  </si>
  <si>
    <t xml:space="preserve"> “matching”</t>
  </si>
  <si>
    <t xml:space="preserve"> “resource”</t>
  </si>
  <si>
    <t xml:space="preserve"> “balance”</t>
  </si>
  <si>
    <t>farmer_cost (Efforts/Inputs)</t>
  </si>
  <si>
    <t>recycling", "nutrient cycling", "cycles", "cycling", "recovery", "biomass", "organic", "waste", "wastewater", "greywater", "reuse", "water", "reclamation", "rainwater", "harvesting", "reusable", "recyclable", "reduction", "preventative", "preventive", "practices", "biological", "natural control", "conservation", "storage", "retention", "efficient", "efficiency", "farm-saved", "vermicomposting", "worm", "composting", "permaculture", "organic farming", "mulching", "soil cover", "organic matter", "cover crops", "biochar", "crop residues", "animal health", "alignment", "matching", "resource", "balance", "social", "diets", "cultural foods", "indigenous crops", "heritage", "tradition", "customs", "traditional", "culturally", "relevant"</t>
  </si>
  <si>
    <t>farmer_benefit</t>
  </si>
  <si>
    <t>"nitrogen fixing", "nitrogen fixation", "leguminous", "renewable", "generate", "sustainable", "soil", "health", "microbial", "manure", "permanent", "soil amendment", "resilient breed", "indigenous breed", "carrying capacity", "biodiversity", "diversity", "crop diversity", "species", "pollinators", "pollinating", "pest", "natural preditors", "rotation", "forest" "woodland", "co-creation", "knowledge", "farmer-to-farmer", "learning", "peer", "information", "sharing", "transfer", "indigenous knowledge", "dissemination", "wisdom", "healthy", "nutritious", "balanced diet".</t>
  </si>
  <si>
    <t>global_cost</t>
  </si>
  <si>
    <t>"synergy", "agroecological", "agroecology", "redesign", "ecological", "diversification", "biodiversity", "variety", "planting", "intercropping", "mixed", "cropping", "integrated", "holistic", "circular", "habitat", "ecosystem", "stewardship", "landscape", "economic", "value chains", "equitable", "ownership", "participation", "broad", "diverse", "marginalized", "groups", "underrepresented", "decision-making", "policy-making", "governance", "community-based", "participatory".</t>
  </si>
  <si>
    <t>global_benefit</t>
  </si>
  <si>
    <t>"fair trade", "equitable", "fair price", "market", "decent jobs", "respectable", "working conditions", "labor", "employment", "preservation", "safeguarding", "intellectual", "property rights", "laws", "consumers and producers", "food chain", "procurement", "cooperatives", "organisations", "community group", "connections", "renewable", "sustainable", "generate", "just", "prices", "markets", "protection", "indigenous", "practices"</t>
  </si>
  <si>
    <t>Principles</t>
  </si>
  <si>
    <t>Practices</t>
  </si>
  <si>
    <t>Outputs/outcomes</t>
  </si>
  <si>
    <t xml:space="preserve">theoretic principles </t>
  </si>
  <si>
    <t xml:space="preserve">practices relating to the principle (Conceptual) </t>
  </si>
  <si>
    <t xml:space="preserve">measurement (Analytical) </t>
  </si>
  <si>
    <t xml:space="preserve">field (farm) </t>
  </si>
  <si>
    <t>landscape (2nd)</t>
  </si>
  <si>
    <t>global (1st)</t>
  </si>
  <si>
    <t xml:space="preserve"> “rights"</t>
  </si>
  <si>
    <t xml:space="preserve"> “peer"</t>
  </si>
  <si>
    <t xml:space="preserve"> "information”</t>
  </si>
  <si>
    <t>"Access"</t>
  </si>
  <si>
    <t>"Benefit"</t>
  </si>
  <si>
    <t>"Capital"</t>
  </si>
  <si>
    <t>"Consumption"</t>
  </si>
  <si>
    <t>"Cost"</t>
  </si>
  <si>
    <t>"Employment"</t>
  </si>
  <si>
    <t>"Financial"</t>
  </si>
  <si>
    <t>"Growth"</t>
  </si>
  <si>
    <t>"Income"</t>
  </si>
  <si>
    <t>"Innovation"</t>
  </si>
  <si>
    <t>"Investment"</t>
  </si>
  <si>
    <t>"Jobs"</t>
  </si>
  <si>
    <t>"Livelihoods"</t>
  </si>
  <si>
    <t>"Market"</t>
  </si>
  <si>
    <t>"Returns"</t>
  </si>
  <si>
    <t>"Risk"</t>
  </si>
  <si>
    <t>"Sustainability"</t>
  </si>
  <si>
    <t>"Trade"</t>
  </si>
  <si>
    <t>"Value chain"</t>
  </si>
  <si>
    <t>"Wealth"</t>
  </si>
  <si>
    <t>"Economic"</t>
  </si>
  <si>
    <t>"Biodiversity"</t>
  </si>
  <si>
    <t>"Biomass"</t>
  </si>
  <si>
    <t>"Carbon"</t>
  </si>
  <si>
    <t>"Climate"</t>
  </si>
  <si>
    <t>"Conservation"</t>
  </si>
  <si>
    <t>"Cycles"</t>
  </si>
  <si>
    <t>"Cycling"</t>
  </si>
  <si>
    <t>"Ecosystems"</t>
  </si>
  <si>
    <t>"Habitat"</t>
  </si>
  <si>
    <t>"Land"</t>
  </si>
  <si>
    <t>"Nitrogen"</t>
  </si>
  <si>
    <t>"Nutrients"</t>
  </si>
  <si>
    <t>"Organic"</t>
  </si>
  <si>
    <t>"Pollination"</t>
  </si>
  <si>
    <t>"Resilience"</t>
  </si>
  <si>
    <t>"Restoration"</t>
  </si>
  <si>
    <t>"Soil"</t>
  </si>
  <si>
    <t>"Water"</t>
  </si>
  <si>
    <t>"Environment"</t>
  </si>
  <si>
    <t>"Adaptation"</t>
  </si>
  <si>
    <t>"Degradation"</t>
  </si>
  <si>
    <t>"Recovery"</t>
  </si>
  <si>
    <t>"Sustainable"</t>
  </si>
  <si>
    <t>"Social"</t>
  </si>
  <si>
    <t>"Agroecology"</t>
  </si>
  <si>
    <t>"Agroforestry"</t>
  </si>
  <si>
    <t>"Compost"</t>
  </si>
  <si>
    <t>"Data"</t>
  </si>
  <si>
    <t>"Farming"</t>
  </si>
  <si>
    <t>"GIS"</t>
  </si>
  <si>
    <t>"Intercropping"</t>
  </si>
  <si>
    <t>"Irrigation"</t>
  </si>
  <si>
    <t>"Livestock"</t>
  </si>
  <si>
    <t>"Management"</t>
  </si>
  <si>
    <t>"Methods"</t>
  </si>
  <si>
    <t>"Monitoring"</t>
  </si>
  <si>
    <t>"Pest"</t>
  </si>
  <si>
    <t>"Practices"</t>
  </si>
  <si>
    <t>"Resilient"</t>
  </si>
  <si>
    <t>"Seed"</t>
  </si>
  <si>
    <t>"System"</t>
  </si>
  <si>
    <t>"Techniques"</t>
  </si>
  <si>
    <t>"Tools"</t>
  </si>
  <si>
    <t>"Technical"</t>
  </si>
  <si>
    <t>Physical</t>
  </si>
  <si>
    <t>Topsoil depth</t>
  </si>
  <si>
    <t>Bulk density</t>
  </si>
  <si>
    <t>Soil pH</t>
  </si>
  <si>
    <t>Biological</t>
  </si>
  <si>
    <t>Earthworms</t>
  </si>
  <si>
    <t>Residual porosity</t>
  </si>
  <si>
    <t>Saturated hydraulic conductivity</t>
  </si>
  <si>
    <t>Potentially mineralizable nitrogen</t>
  </si>
  <si>
    <t>Cellulose decomposition rate</t>
  </si>
  <si>
    <t>Particulate organic matter</t>
  </si>
  <si>
    <t>Active carbon</t>
  </si>
  <si>
    <t>Weed seed bank</t>
  </si>
  <si>
    <t>Microbial respiration rate</t>
  </si>
  <si>
    <t>Soil proteins</t>
  </si>
  <si>
    <t>Organic matter content</t>
  </si>
  <si>
    <t>Nitrate nitrogen</t>
  </si>
  <si>
    <t>Potassium</t>
  </si>
  <si>
    <t>Magnesium</t>
  </si>
  <si>
    <t>Calcium</t>
  </si>
  <si>
    <t>Iron</t>
  </si>
  <si>
    <t>Aluminum</t>
  </si>
  <si>
    <t>Manganese</t>
  </si>
  <si>
    <t>Zinc</t>
  </si>
  <si>
    <t>Copper</t>
  </si>
  <si>
    <t>Exchangeable acidity</t>
  </si>
  <si>
    <t>Salinity</t>
  </si>
  <si>
    <t>Sodicity</t>
  </si>
  <si>
    <t>Heavy metals</t>
  </si>
  <si>
    <t>Aggregate stability</t>
  </si>
  <si>
    <t>Soil structure and macroporosity</t>
  </si>
  <si>
    <t>Infiltration rate</t>
  </si>
  <si>
    <t>Water holding capacity</t>
  </si>
  <si>
    <t>Texture</t>
  </si>
  <si>
    <t>Soil crusting and compaction</t>
  </si>
  <si>
    <t>Penetration resistance</t>
  </si>
  <si>
    <t>Wet and dry aggregate size</t>
  </si>
  <si>
    <t>Field infiltration</t>
  </si>
  <si>
    <t>Erosion rating</t>
  </si>
  <si>
    <t>Electrical conductivity</t>
  </si>
  <si>
    <t>Cation exchange capacity (CEC)</t>
  </si>
  <si>
    <t>Phosphorus concentration</t>
  </si>
  <si>
    <t>Reactive carbon</t>
  </si>
  <si>
    <t>Base saturation</t>
  </si>
  <si>
    <t>Total organic carbon</t>
  </si>
  <si>
    <t>Microbial biomass C and N</t>
  </si>
  <si>
    <t>Soil respiration rate</t>
  </si>
  <si>
    <t>Soil enzymes</t>
  </si>
  <si>
    <t>Carbon and nitrogen mineralization</t>
  </si>
  <si>
    <t>Root pathogen pressure</t>
  </si>
  <si>
    <t>Beneficial and parasitic nematode populations</t>
  </si>
  <si>
    <t>Biological food web composition</t>
  </si>
  <si>
    <t xml:space="preserve">Chemical </t>
  </si>
  <si>
    <t>Measures</t>
  </si>
  <si>
    <t>Surface and subsurface hardness</t>
  </si>
  <si>
    <t>Micro-organism activity</t>
  </si>
  <si>
    <t>Macro-organism activity</t>
  </si>
  <si>
    <t>count</t>
  </si>
  <si>
    <t>two</t>
  </si>
  <si>
    <t>rights</t>
  </si>
  <si>
    <t>peer</t>
  </si>
  <si>
    <t>pollinating</t>
  </si>
  <si>
    <t>social just</t>
  </si>
  <si>
    <t>economic diversification</t>
  </si>
  <si>
    <t>value chains</t>
  </si>
  <si>
    <t>equitable</t>
  </si>
  <si>
    <t xml:space="preserve"> prices</t>
  </si>
  <si>
    <t>markets</t>
  </si>
  <si>
    <t>decent jobs</t>
  </si>
  <si>
    <t>respectable</t>
  </si>
  <si>
    <t>quality</t>
  </si>
  <si>
    <t>working conditions</t>
  </si>
  <si>
    <t>labor</t>
  </si>
  <si>
    <t>employment</t>
  </si>
  <si>
    <t>traditional knowledge</t>
  </si>
  <si>
    <t>protection</t>
  </si>
  <si>
    <t>preservation</t>
  </si>
  <si>
    <t>indigenous</t>
  </si>
  <si>
    <t>safeguarding</t>
  </si>
  <si>
    <t>practices</t>
  </si>
  <si>
    <t>intellectual property</t>
  </si>
  <si>
    <t xml:space="preserve"> laws</t>
  </si>
  <si>
    <t>food chain</t>
  </si>
  <si>
    <t>procurement</t>
  </si>
  <si>
    <t>cooperatives</t>
  </si>
  <si>
    <t>organisations</t>
  </si>
  <si>
    <t>community group</t>
  </si>
  <si>
    <t>connections</t>
  </si>
  <si>
    <t>knowledge</t>
  </si>
  <si>
    <t>farmer-to-farmer</t>
  </si>
  <si>
    <t>learning</t>
  </si>
  <si>
    <t xml:space="preserve"> information</t>
  </si>
  <si>
    <t>sharing</t>
  </si>
  <si>
    <t>transfer</t>
  </si>
  <si>
    <t>traditional</t>
  </si>
  <si>
    <t>indigenous knowledge</t>
  </si>
  <si>
    <t>dissemination</t>
  </si>
  <si>
    <t>wisdom</t>
  </si>
  <si>
    <t>diets</t>
  </si>
  <si>
    <t>cultural foods</t>
  </si>
  <si>
    <t>indigenous crops</t>
  </si>
  <si>
    <t>heritage</t>
  </si>
  <si>
    <t>uniqueness</t>
  </si>
  <si>
    <t>tradition</t>
  </si>
  <si>
    <t>customs</t>
  </si>
  <si>
    <t>culturally</t>
  </si>
  <si>
    <t>relevant</t>
  </si>
  <si>
    <t>healthy</t>
  </si>
  <si>
    <t>nutritious</t>
  </si>
  <si>
    <t>balanced diet</t>
  </si>
  <si>
    <t>fair trade</t>
  </si>
  <si>
    <t>power</t>
  </si>
  <si>
    <t>relations</t>
  </si>
  <si>
    <t>network</t>
  </si>
  <si>
    <t>just</t>
  </si>
  <si>
    <t>fair price</t>
  </si>
  <si>
    <t>market</t>
  </si>
  <si>
    <t>intellectual property rights</t>
  </si>
  <si>
    <t>laws</t>
  </si>
  <si>
    <t>ownership</t>
  </si>
  <si>
    <t>inclusive</t>
  </si>
  <si>
    <t>participation</t>
  </si>
  <si>
    <t>broad</t>
  </si>
  <si>
    <t>diverse</t>
  </si>
  <si>
    <t>marginalized</t>
  </si>
  <si>
    <t>groups</t>
  </si>
  <si>
    <t>underrepresented</t>
  </si>
  <si>
    <t>decision-making</t>
  </si>
  <si>
    <t>policy-making</t>
  </si>
  <si>
    <t>governance</t>
  </si>
  <si>
    <t>community-based</t>
  </si>
  <si>
    <t>participatory</t>
  </si>
  <si>
    <t>nutrient cycling</t>
  </si>
  <si>
    <t>cycles</t>
  </si>
  <si>
    <t>cycling</t>
  </si>
  <si>
    <t>recovery</t>
  </si>
  <si>
    <t>biomass</t>
  </si>
  <si>
    <t>organic</t>
  </si>
  <si>
    <t>waste</t>
  </si>
  <si>
    <t>wastewater</t>
  </si>
  <si>
    <t xml:space="preserve"> greywater</t>
  </si>
  <si>
    <t>reuse</t>
  </si>
  <si>
    <t>water</t>
  </si>
  <si>
    <t>reclamation</t>
  </si>
  <si>
    <t xml:space="preserve"> rainwater</t>
  </si>
  <si>
    <t>harvesting</t>
  </si>
  <si>
    <t>reusable</t>
  </si>
  <si>
    <t>recyclable</t>
  </si>
  <si>
    <t>health</t>
  </si>
  <si>
    <t>microbial</t>
  </si>
  <si>
    <t>manure</t>
  </si>
  <si>
    <t>vermicomposting</t>
  </si>
  <si>
    <t>worm</t>
  </si>
  <si>
    <t>composting</t>
  </si>
  <si>
    <t>permaculture</t>
  </si>
  <si>
    <t>permanent</t>
  </si>
  <si>
    <t>organic farming</t>
  </si>
  <si>
    <t>mulching</t>
  </si>
  <si>
    <t>soil cover</t>
  </si>
  <si>
    <t>organic matter</t>
  </si>
  <si>
    <t>soil amendment</t>
  </si>
  <si>
    <t>cover crops</t>
  </si>
  <si>
    <t>biochar</t>
  </si>
  <si>
    <t>crop residues</t>
  </si>
  <si>
    <t>diversity</t>
  </si>
  <si>
    <t>crop diversity</t>
  </si>
  <si>
    <t>species</t>
  </si>
  <si>
    <t>pollinators</t>
  </si>
  <si>
    <t xml:space="preserve"> insects</t>
  </si>
  <si>
    <t>pest</t>
  </si>
  <si>
    <t>naturalpredators</t>
  </si>
  <si>
    <t>rotation</t>
  </si>
  <si>
    <t>forest</t>
  </si>
  <si>
    <t>woodland</t>
  </si>
  <si>
    <t>agroecological</t>
  </si>
  <si>
    <t>agroecology</t>
  </si>
  <si>
    <t>redesign</t>
  </si>
  <si>
    <t>ecological</t>
  </si>
  <si>
    <t>diversification</t>
  </si>
  <si>
    <t>biodiversity</t>
  </si>
  <si>
    <t>variety</t>
  </si>
  <si>
    <t>planting</t>
  </si>
  <si>
    <t>intercropping</t>
  </si>
  <si>
    <t>mixed</t>
  </si>
  <si>
    <t>cropping</t>
  </si>
  <si>
    <t>integrated</t>
  </si>
  <si>
    <t>holistic</t>
  </si>
  <si>
    <t>circular</t>
  </si>
  <si>
    <t>habitat</t>
  </si>
  <si>
    <t>ecosystem</t>
  </si>
  <si>
    <t>stewardship</t>
  </si>
  <si>
    <t>landscape</t>
  </si>
  <si>
    <t>preventative</t>
  </si>
  <si>
    <t>preventive</t>
  </si>
  <si>
    <t>nitrogen fixing</t>
  </si>
  <si>
    <t>nitrogen fixation</t>
  </si>
  <si>
    <t>leguminous</t>
  </si>
  <si>
    <t>biological</t>
  </si>
  <si>
    <t>natural control</t>
  </si>
  <si>
    <t>conservation</t>
  </si>
  <si>
    <t>storage</t>
  </si>
  <si>
    <t>retention</t>
  </si>
  <si>
    <t>efficient</t>
  </si>
  <si>
    <t>efficiency</t>
  </si>
  <si>
    <t>renewable</t>
  </si>
  <si>
    <t>generate</t>
  </si>
  <si>
    <t>sustainable</t>
  </si>
  <si>
    <t>farm-saved</t>
  </si>
  <si>
    <t>resilient breed</t>
  </si>
  <si>
    <t>indigenous breed</t>
  </si>
  <si>
    <t>carrying capacity</t>
  </si>
  <si>
    <t>alignment</t>
  </si>
  <si>
    <t>matching</t>
  </si>
  <si>
    <t>resource</t>
  </si>
  <si>
    <t>balance</t>
  </si>
  <si>
    <t>fairness</t>
  </si>
  <si>
    <t>consumers and producers</t>
  </si>
  <si>
    <t>co-creation</t>
  </si>
  <si>
    <t>recycling</t>
  </si>
  <si>
    <t>soil</t>
  </si>
  <si>
    <t>synergy</t>
  </si>
  <si>
    <t>reduction</t>
  </si>
  <si>
    <t>animal health</t>
  </si>
  <si>
    <t>natural predators</t>
  </si>
  <si>
    <t>humanure</t>
  </si>
  <si>
    <t>biofertiliser</t>
  </si>
  <si>
    <t xml:space="preserve">natural </t>
  </si>
  <si>
    <t>predator</t>
  </si>
  <si>
    <t>indicator</t>
  </si>
  <si>
    <t>theoretic principles</t>
  </si>
  <si>
    <t>practices relating to the principle (Conceptual)</t>
  </si>
  <si>
    <t>measurement (Analytical)</t>
  </si>
  <si>
    <t>field (farm)</t>
  </si>
  <si>
    <t xml:space="preserve">global </t>
  </si>
  <si>
    <t>theme</t>
  </si>
  <si>
    <t>principle</t>
  </si>
  <si>
    <t>context</t>
  </si>
  <si>
    <t>Role</t>
  </si>
  <si>
    <t>framework</t>
  </si>
  <si>
    <t>Scale</t>
  </si>
  <si>
    <t>Comments</t>
  </si>
  <si>
    <t>soil health</t>
  </si>
  <si>
    <t>Low • Add compost or biochar • Rotate with sod crops</t>
  </si>
  <si>
    <t>Cornell-SHMF.pdf</t>
  </si>
  <si>
    <t>Righteous</t>
  </si>
  <si>
    <t>P</t>
  </si>
  <si>
    <t>F</t>
  </si>
  <si>
    <t>input reduction</t>
  </si>
  <si>
    <t>smoke. −− Larger, more efficient biochar stoves may be inaccessible for</t>
  </si>
  <si>
    <t>FAO-ESFSI.pdf</t>
  </si>
  <si>
    <t>power from rice husks. and biochar (small bits) used in compost</t>
  </si>
  <si>
    <t>LG</t>
  </si>
  <si>
    <t>oven that generates and using biochar in different forms. heat and</t>
  </si>
  <si>
    <t>p</t>
  </si>
  <si>
    <t>FL</t>
  </si>
  <si>
    <t>supported by maintaining and enhancing biodiversity (5) well as circular and</t>
  </si>
  <si>
    <t>Wezel-TAPE.pdf</t>
  </si>
  <si>
    <t>criterion. 3.4.9 AGRICULTURAL BIODIVERSITY Agricultural biodiversity is the diversity of crop</t>
  </si>
  <si>
    <t>FAO-TAPE.pdf</t>
  </si>
  <si>
    <t>T</t>
  </si>
  <si>
    <t>FLG</t>
  </si>
  <si>
    <t>Richardson AE, Condron LM. Soil biodiversity and biogeochemical function in managed</t>
  </si>
  <si>
    <t>Lehmann-FPSH.pdf</t>
  </si>
  <si>
    <t>A</t>
  </si>
  <si>
    <t>accurately on the values of biodiversity and ecosystem services; • Addressing</t>
  </si>
  <si>
    <t>CBD-NEA.pdf</t>
  </si>
  <si>
    <t>AP</t>
  </si>
  <si>
    <t>based upon landscape, physical, chemical, biological and land management criteria applicable</t>
  </si>
  <si>
    <t>CIAT-ISFM.pdf</t>
  </si>
  <si>
    <t>the consumption of both the biological and fossil resources of the</t>
  </si>
  <si>
    <t>Permaculture.pdf</t>
  </si>
  <si>
    <t>O</t>
  </si>
  <si>
    <t>moisture fluctuation, greater disturbances, higher biological activity, and higher rates of</t>
  </si>
  <si>
    <t>Steve-AESSHF.pdf</t>
  </si>
  <si>
    <t>organic matter, and increases soil biological activity [15,52], which could significantly</t>
  </si>
  <si>
    <t>Gwimire-SHAM4WLE.pdf</t>
  </si>
  <si>
    <t>1 For example: say the biomass of truffle mushrooms were used</t>
  </si>
  <si>
    <t>EJP-SIREN.pdf</t>
  </si>
  <si>
    <t>Y represents the total crop biomass produced in a season, X</t>
  </si>
  <si>
    <t>Tittonel-sysageco.pdf</t>
  </si>
  <si>
    <t>biological recycling of nutrients in biomass and soil organic matter ·</t>
  </si>
  <si>
    <t>Cornell-CASH.pdf</t>
  </si>
  <si>
    <t>biomass to cropland While the biomass production potential of the above</t>
  </si>
  <si>
    <t>IFDC-FSHA.pdf</t>
  </si>
  <si>
    <t>well-functioning and there should be broad participation in domestic markets, when</t>
  </si>
  <si>
    <t>CAADP.pdf</t>
  </si>
  <si>
    <t>G</t>
  </si>
  <si>
    <t>of • In addition, two broad categories of agricultural cereals (85</t>
  </si>
  <si>
    <t>answers were classified into two broad categories: 1) ES assessments are</t>
  </si>
  <si>
    <t>following harvest. focused on two broad categories: ‘conventional till’ and ‘no-till’.</t>
  </si>
  <si>
    <t>Deel-SEMWISE.pdf</t>
  </si>
  <si>
    <t>connectivity</t>
  </si>
  <si>
    <t>is where most practices under circular agriculture start to make sense,</t>
  </si>
  <si>
    <t>partner in a resource-efficient and circular economy, since it is arguably</t>
  </si>
  <si>
    <t>EU-SS2030.pdf</t>
  </si>
  <si>
    <t>food security and nutrition, and circular economy targets. In many places,</t>
  </si>
  <si>
    <t>FAO-VGSSM.pdf</t>
  </si>
  <si>
    <t>conservation and climate-smart agriculture, and circular farming, among others. While most</t>
  </si>
  <si>
    <t>co-creation of knowledge</t>
  </si>
  <si>
    <t>(2) collaborative arrangement and (3) co-creation of experiences. In agroecosystems design,</t>
  </si>
  <si>
    <t>or several platforms for the co-creation and transfer of knowledge exist,</t>
  </si>
  <si>
    <t>have a high value for co-creation of knowledge based on traditional</t>
  </si>
  <si>
    <t>to support the process of co-creation and knowledge exchange. The authors</t>
  </si>
  <si>
    <t>to secure certified seed for community-based seed production. Grain legume commodity</t>
  </si>
  <si>
    <t>new grain legumes, home and community-based processing must be demonstrated to</t>
  </si>
  <si>
    <t>Communities: in many developing countries, community-based knowledge exchanges and interpersonal trust</t>
  </si>
  <si>
    <t>and local responses. 6.1.) Several community-based assessments adapted the MA Multiscale</t>
  </si>
  <si>
    <t>MEA.pdf</t>
  </si>
  <si>
    <t>production (see Chapter 4). Domestic composting may improve the nutrient concentration</t>
  </si>
  <si>
    <t>agro- ecological practices, such as composting or fermenting bio-fertilisers or biological</t>
  </si>
  <si>
    <t>16.3. Adoption of soil fertility composting whereas men prefer to mine</t>
  </si>
  <si>
    <t>materials serve as substrate to composting operations. One difficulty in the</t>
  </si>
  <si>
    <t xml:space="preserve">F </t>
  </si>
  <si>
    <t>biodiversity-related objectives; actions; • Enhancing connections among • Highlighting knowledge gaps</t>
  </si>
  <si>
    <t>L</t>
  </si>
  <si>
    <t>land and natural resource governance</t>
  </si>
  <si>
    <t>neutrality (LDN) onstrates the logical connections between target” (UNCCD, 2015a). The</t>
  </si>
  <si>
    <t>UNCCD-LDN.pdf</t>
  </si>
  <si>
    <t>prompting investigators to pursue key connections and linkages between the various</t>
  </si>
  <si>
    <t>IDS-SRLF.pdf</t>
  </si>
  <si>
    <t>whole ecosystems, we find the connections between things are as important</t>
  </si>
  <si>
    <t>conserved, as the costs of conservation might still be found to</t>
  </si>
  <si>
    <t>WRI-EHWB.pdf</t>
  </si>
  <si>
    <t>possible and as appropriate, the conservation and sustainable use of biological</t>
  </si>
  <si>
    <t>CBD.pdf</t>
  </si>
  <si>
    <t>between present uses and the conservation of biological diversity and the</t>
  </si>
  <si>
    <t>plans or programmes for the conservation and sustainable use of biological</t>
  </si>
  <si>
    <t>qua ality, qu antity &amp; cooperatives and associations, agro-dealer timing networks,</t>
  </si>
  <si>
    <t>national cotton boards and farmer cooperatives in parts of West Africa</t>
  </si>
  <si>
    <t>which might be legally registered cooperatives or farmers’ groups, can build</t>
  </si>
  <si>
    <t>of the largest sustainable agricultural cooperatives in the world. Based in</t>
  </si>
  <si>
    <t>working</t>
  </si>
  <si>
    <t>criteria to your circumstances and culturally appropriate ways of working when</t>
  </si>
  <si>
    <t>SKI-LStoolkit.pdf</t>
  </si>
  <si>
    <t>social values and diets</t>
  </si>
  <si>
    <t>geographic diversity • biogenetically, racially, culturally and intellectually cross-fertilised, giving natural</t>
  </si>
  <si>
    <t>possible for the extinction of culturally impor- tant species such as</t>
  </si>
  <si>
    <t>market systems. Social and cultural customs that assign home and reproductive</t>
  </si>
  <si>
    <t>or the prevailing set of customs and by-laws that shape gender</t>
  </si>
  <si>
    <t>to organise a set-up, local customs and mode of facilitation to</t>
  </si>
  <si>
    <t>Posthumus et al 2023 Food Systems Decision Support Toolkit.pdf</t>
  </si>
  <si>
    <t>providing free trade areas or customs unions; increased trade-related technical assistance</t>
  </si>
  <si>
    <t>takes time and often many cycles of discus- cio- cultural, natural</t>
  </si>
  <si>
    <t>S. 1995. Manure utilisation, drought cycles and herd dynamics in the</t>
  </si>
  <si>
    <t>34 poultry breeding 209 socio-political cycles 256 Rubbish as Nature 124</t>
  </si>
  <si>
    <t>and design requires many iterative cycles before we expunge the dysfunctional</t>
  </si>
  <si>
    <t>supporting services such as nutrient cycling that maintain the conditions for</t>
  </si>
  <si>
    <t>Carbon Chemical carbon storage and cycling %; Mg C/ha 1996; Sherrod</t>
  </si>
  <si>
    <t xml:space="preserve">A </t>
  </si>
  <si>
    <t>Physical g/cm3; Mg/m3 fertility, nutrient cycling for rocks; excavation Penetration Mpa,</t>
  </si>
  <si>
    <t>activity Nitrogen Nitrogen Chemical/Influe Nitrogen cycling and μg N/g soil; Mineralization</t>
  </si>
  <si>
    <t>biodiversity and ecosystem services into decision-making and to enhance the implementation</t>
  </si>
  <si>
    <t>in the process of collective decision-making and the behavioural factors that</t>
  </si>
  <si>
    <t>thus far has focused on decision-making within an ecosys- tem and</t>
  </si>
  <si>
    <t>and critical thinking. Transparency in decision-making also helps to build trust</t>
  </si>
  <si>
    <t>Common-4returns.pdf</t>
  </si>
  <si>
    <t>traditions seasonally and culturally appropriate diets 10. Fairness. Support dignified and</t>
  </si>
  <si>
    <t>duty policy bundle for healthy diets as describe below Example food</t>
  </si>
  <si>
    <t>FSAT.pdf</t>
  </si>
  <si>
    <t>the EAT–Lancet Commission on healthy diets from sustainable food systems. The</t>
  </si>
  <si>
    <t>rice, wheat, and potatoes) declines, diets include more may not be</t>
  </si>
  <si>
    <t>(iv) in the approach to dissemination of results. In some cases,</t>
  </si>
  <si>
    <t>agriculture. An expedient means of dissemination is to contract farmer associations</t>
  </si>
  <si>
    <t>encourages the use, reproduction and dissemination of material in this information</t>
  </si>
  <si>
    <t>of conventional extension approaches to dissemination led to the development of</t>
  </si>
  <si>
    <t>of entire landscapes that encompass diverse habitats, trophic networks, and resources.</t>
  </si>
  <si>
    <t>sustainable soil management Soils have diverse chemical, physical and biological properties.</t>
  </si>
  <si>
    <t>large-scale landscape restoration, through which diverse stakeholders 4 Returns: – farmers,</t>
  </si>
  <si>
    <t>ILM-Practical.pdf</t>
  </si>
  <si>
    <t>experiments, participatory processes, prototyping and diverse sources of knowledge can be</t>
  </si>
  <si>
    <t>TP</t>
  </si>
  <si>
    <t>significant adverse effect on biological diversity has been determined pursuant to</t>
  </si>
  <si>
    <t>1.11) that embrace the complexity, diversity and dynamics of the agroecosystem,</t>
  </si>
  <si>
    <t>also takes account of Africa’s diversity and defines trajectories and addresses</t>
  </si>
  <si>
    <t>SI4AF.pdf</t>
  </si>
  <si>
    <t>being recognized that greater plant diversity also increases microbial community diversity</t>
  </si>
  <si>
    <t>to assess their sustainability. Short-term economic benefits. Peasant agriculture, or peasant</t>
  </si>
  <si>
    <t>MESMIS.pdf</t>
  </si>
  <si>
    <t>and rural security and sustainable economic growth. livelihoods, to name but</t>
  </si>
  <si>
    <t>UNCCD-ILM.pdf</t>
  </si>
  <si>
    <t>and water development in and economic recovery by 2015. This document</t>
  </si>
  <si>
    <t>climatic factors, as well as economic and crops such a carrot</t>
  </si>
  <si>
    <t>is the source of many ecosystem goods, such as food and</t>
  </si>
  <si>
    <t>the services from a particular ecosystem can also be useful to</t>
  </si>
  <si>
    <t>rately estimating the value of ecosystem services under the current and</t>
  </si>
  <si>
    <t>methods of economic valuation of ecosystem ser- vices is that they</t>
  </si>
  <si>
    <t>food products; to generate greater efficiency in these sectors; and, •</t>
  </si>
  <si>
    <t>weak and when field traffic efficiency is low overcompacted, while, for</t>
  </si>
  <si>
    <t>EEA-SMEITSHA.pdf</t>
  </si>
  <si>
    <t>Nutrient 7. Riparian buffers use efficiency should be measured and benchmarked</t>
  </si>
  <si>
    <t>nestle-RAF.pdf</t>
  </si>
  <si>
    <t>Undernourishment and Economic Growth: the efficiency cost of hunger, by J.L.</t>
  </si>
  <si>
    <t>larger root systems are more efficient at finding water, and fertilizer</t>
  </si>
  <si>
    <t>population implies greater and more efficient use of mineral and organic</t>
  </si>
  <si>
    <t>IFA-G4RNutStewF.pdf</t>
  </si>
  <si>
    <t>adapted technologies, including balanced and efficient (inorganic and organic) fertilizer application,</t>
  </si>
  <si>
    <t>EU Roadmap to a resource efficient Europe (a) To decrease land</t>
  </si>
  <si>
    <t>economic value of production, regional employment generation, etc. The participating farmers</t>
  </si>
  <si>
    <t>of the regional income and employment multipliers, it is also crucial</t>
  </si>
  <si>
    <t>IFPRI-GR.pdf</t>
  </si>
  <si>
    <t>Powell</t>
  </si>
  <si>
    <t>– an approach for improving equitable access and sustainable management of</t>
  </si>
  <si>
    <t>FAO-ALMSFA.pdf</t>
  </si>
  <si>
    <t>private agricultural investment Policies supporting equitable distribution of land have, therefore</t>
  </si>
  <si>
    <t>the labour conditions offer an equitable farm and educational opportunities. B</t>
  </si>
  <si>
    <t>is based on participation, localness, fairness sponsible innovation that steers innovation</t>
  </si>
  <si>
    <t>the security of livelihoods and fairness for society at large; 4.</t>
  </si>
  <si>
    <t>AT</t>
  </si>
  <si>
    <t>GL</t>
  </si>
  <si>
    <t>sumers, but addressing questions of fairness is critical. This</t>
  </si>
  <si>
    <t>PT</t>
  </si>
  <si>
    <t>building for Sharing and ▶▶Encourage farmer-to-farmer knowledge sharing farmers co-creating knowledge</t>
  </si>
  <si>
    <t>landscape part- ners work on farmer-to-farmer learning through on-farm demonstration workshops,</t>
  </si>
  <si>
    <t>more traditional extension approaches and farmer-to-farmer diffusion is successful in dissemination</t>
  </si>
  <si>
    <t>schemes for sustainable ﬁsheries and forest practices Given the growing demands</t>
  </si>
  <si>
    <t>agricultural land management (IALM), improved forest management (IFM), afforestation, reforestation, revegetation</t>
  </si>
  <si>
    <t>justification (e.g. sampling design addressing forest floors, sampling of peatland, maintenance</t>
  </si>
  <si>
    <t>form of inorganic nitrogen on forest ecosystems use either a general</t>
  </si>
  <si>
    <t>can take many years to generate detectable changes, there are approaches</t>
  </si>
  <si>
    <t>GENERAL VERB</t>
  </si>
  <si>
    <t>for food. No surplus to generate income. &gt;&gt; 2 - Production</t>
  </si>
  <si>
    <t>reading landscape is destined to generate localised and contingent patterns. Some</t>
  </si>
  <si>
    <t>Network of Co-innovation which can generate financial returns for the landscape.</t>
  </si>
  <si>
    <t>J.M., Reker, J., Teixeira, H., governance and development: A conceptual and</t>
  </si>
  <si>
    <t>REFERENCE</t>
  </si>
  <si>
    <t>signiﬁ- ■ inappropriate institutional and governance arrangements, cant. The interventions include</t>
  </si>
  <si>
    <t>Code management of fertilizers in governance principles into national policies and</t>
  </si>
  <si>
    <t>FAO-GSPAF.pdf</t>
  </si>
  <si>
    <t>key role of the multi-level governance component of territorial policies and</t>
  </si>
  <si>
    <t>with representatives from all stakeholder groups that reviews the report and</t>
  </si>
  <si>
    <t>with ten European stake- holder groups to discuss pathways to improve</t>
  </si>
  <si>
    <t>LA4AA.pdf</t>
  </si>
  <si>
    <t>wildlife habitat and other user groups needs to be applied. Furthermore,</t>
  </si>
  <si>
    <t>invite or set up working groups to formulate the details. The</t>
  </si>
  <si>
    <t>to assist in the management, harvesting and processing of natural resources.</t>
  </si>
  <si>
    <t>often most directly dependent on harvesting ecosystem services, they are often</t>
  </si>
  <si>
    <t>regarded as worthless. The commercial harvesting of pest carp from Australian</t>
  </si>
  <si>
    <t>off-seasons when there is less harvesting to do, or during the</t>
  </si>
  <si>
    <t>well as poor food envi- healthy foods ronments are leading to</t>
  </si>
  <si>
    <t>the mainte- nance of the healthy functioning of any ecosystem is</t>
  </si>
  <si>
    <t>Fork Strategy for a fair, healthy and environmentally-friendly final of 22</t>
  </si>
  <si>
    <t>adoption of the concept of healthy soil a few decades ago,</t>
  </si>
  <si>
    <t>systems vegetables back-up 89, 160 heritage varieties 213 controls 72 hydroponic</t>
  </si>
  <si>
    <t>urban centers knowledge systems, religions, heritage values, and social interac- (C27).</t>
  </si>
  <si>
    <t>human well-being, ecosystem services, cultural heritage and values, and rural security</t>
  </si>
  <si>
    <t>Human cultures, knowledge systems, religions, heritage values, social interactions, and the</t>
  </si>
  <si>
    <t>zones enabled a comprehensive and inclusive approach to land management. Stakeholders</t>
  </si>
  <si>
    <t>level 5 involves requires (i) inclusive and participatory forms of innovation</t>
  </si>
  <si>
    <t>indicators was developed through an inclusive process that included a survey</t>
  </si>
  <si>
    <t>SIAF.pdf</t>
  </si>
  <si>
    <t>and the awareness and developing inclusive governance mechanisms</t>
  </si>
  <si>
    <t>framework for the study of indigenous knowledge on nature. In: Stepp</t>
  </si>
  <si>
    <t>particularly promising system uses the indigenous tree “ramón” (Brosimum alicastrum) together</t>
  </si>
  <si>
    <t>and traditional dependence of many indigenous and local communities embodying traditional</t>
  </si>
  <si>
    <t>Practical guidelines on working with indigenous and local knowledge in national</t>
  </si>
  <si>
    <t>information</t>
  </si>
  <si>
    <t>dismissed. lack of knowledge and information concerning different aspects ■ Enhance</t>
  </si>
  <si>
    <t>FGL</t>
  </si>
  <si>
    <t>“market analysis”, as it includes information about the products you plan</t>
  </si>
  <si>
    <t>for Europe (europa.eu). The Biodiversity information system for Europe is a</t>
  </si>
  <si>
    <t>health and ecosystem functioning. The information required can come only from</t>
  </si>
  <si>
    <t>SCALE NOT CLEAR</t>
  </si>
  <si>
    <t>insects</t>
  </si>
  <si>
    <t>It also claims to repel insects and serve as a livestock</t>
  </si>
  <si>
    <t>health management in pathogens, nematodes, insects and weeds that can many</t>
  </si>
  <si>
    <t>Procedures is available at bit.ly/ insects and other pests, as well</t>
  </si>
  <si>
    <t>stages of life of many insects and pollinators. Soil biodiversity greatly</t>
  </si>
  <si>
    <t>other perennials) of different species integrated within the farm land.</t>
  </si>
  <si>
    <t>to human well-being requires an integrated approach. This en- ables a</t>
  </si>
  <si>
    <t>available to undertake a cross-scale integrated assessment and to project future</t>
  </si>
  <si>
    <t>action, developing and financing an integrated landscape investment portfolio and tracking</t>
  </si>
  <si>
    <t>ILM_Tool_Guide.pdf</t>
  </si>
  <si>
    <t>systems within its boundaries, or just one, when</t>
  </si>
  <si>
    <t>COUNT</t>
  </si>
  <si>
    <t>to it will have been just another lost opportunity for creative</t>
  </si>
  <si>
    <t>EXAMPLE OF</t>
  </si>
  <si>
    <t>access concentrate feed, it grows just as fast as when kept</t>
  </si>
  <si>
    <t>production.4,5 Healthy soils are not just a the soil assessment and</t>
  </si>
  <si>
    <t>Ros-OSHAFSSM.pdf</t>
  </si>
  <si>
    <t>agriculture through interdisciplinary collaboration. The knowledge product consists of tools to</t>
  </si>
  <si>
    <t>among themselves and with the knowledge and innovation capacity of farmers,</t>
  </si>
  <si>
    <t>where initiatives have succeeded, where knowledge of those affected by food</t>
  </si>
  <si>
    <t>IPES-FOOD.pdf</t>
  </si>
  <si>
    <t>are in place. Translating this knowledge into practical land management strategies</t>
  </si>
  <si>
    <t>atmospheric loss. In ha harrvest labor (hours per ha) contrast, dead</t>
  </si>
  <si>
    <t>occurred . IloNCVCf. in-mig,raUon of labor from other regions and availability</t>
  </si>
  <si>
    <t>emerge, traditional &amp; empowering women labor by women, greater division of</t>
  </si>
  <si>
    <t>by which that working at landscape levels inherently (55, 56). outcomes</t>
  </si>
  <si>
    <t>sayer-LA.pdf</t>
  </si>
  <si>
    <t>5 Elements for implementation. Why landscape Landscapes are fundamental to our</t>
  </si>
  <si>
    <t>interactions between ES at the landscape scale. Thus, in order of</t>
  </si>
  <si>
    <t>causes and effects, changes in landscape at- ist among the differing</t>
  </si>
  <si>
    <t>Legal compliance 1. Are there laws in your country with specific</t>
  </si>
  <si>
    <t>Similarly, many countries have passed laws protecting endangered species based on</t>
  </si>
  <si>
    <t>be integrated into the UNCCD laws and policies. Partners with experience</t>
  </si>
  <si>
    <t>adopt follows local and national laws governing sustainability. If you want</t>
  </si>
  <si>
    <t>stimu- lating, creating, or facilitating learning or business networks related to</t>
  </si>
  <si>
    <t>you interested in educational and learning approaches that go beyond school</t>
  </si>
  <si>
    <t>knowledge implementation, practices and reﬂective learning is also often termed ‘co-innovation</t>
  </si>
  <si>
    <t>far and based on their learning make adjustments to their landscape</t>
  </si>
  <si>
    <t>excellent spring biomass producer and leguminous nitrogen contributor therefore making it</t>
  </si>
  <si>
    <t>early, leaf surface may with leguminous species and within ISFM strategies</t>
  </si>
  <si>
    <t>TGSN.pdf</t>
  </si>
  <si>
    <t>seen permaculturalists take to overgrown leguminous trees and excessively numerous fruiting</t>
  </si>
  <si>
    <t>green manuring, addition of farmyard manure (FYM), residue management, zero tillage</t>
  </si>
  <si>
    <t>check and add soil health1.pdf</t>
  </si>
  <si>
    <t>Dutch solution of exporting animal manure to Spain, which would use</t>
  </si>
  <si>
    <t>to spot weed the green manure but more often it will</t>
  </si>
  <si>
    <t>on growth. Crop residues and manure can be left on the</t>
  </si>
  <si>
    <t>being benefits did weaker or marginalized groups grain from CB?). explicitly</t>
  </si>
  <si>
    <t>cgiar-ll.pdf</t>
  </si>
  <si>
    <t>economic constraints, and remain economically marginalized and vulnerable to violations of</t>
  </si>
  <si>
    <t>opportunities Social change ▶▶Smallholders are marginalized without There is a huge</t>
  </si>
  <si>
    <t>been concentrated in this way, markets will pass them to ultimate</t>
  </si>
  <si>
    <t>foods • Create more district markets to amongst a large portion</t>
  </si>
  <si>
    <t>the corporations to hijack niche markets and use technology to provide</t>
  </si>
  <si>
    <t>awareness, Access to sustainable participation, markets &amp; favourable knowledge &amp; skills</t>
  </si>
  <si>
    <t>greater plant diversity also increases microbial community diversity and functioning. Grass</t>
  </si>
  <si>
    <t>(2022) found an increase in microbial C use efficiency after six</t>
  </si>
  <si>
    <t>of the soil. Consequently, the microbial community Furthermore, the vulnerability of</t>
  </si>
  <si>
    <t>SETENCE NOT COMPLETE</t>
  </si>
  <si>
    <t>impact on soil health, current microbial measurements are not easy to</t>
  </si>
  <si>
    <t>a comparable role as residue mulching for the maintenance of soil</t>
  </si>
  <si>
    <t>Vimbayi</t>
  </si>
  <si>
    <t>Kizito, F. 2000. Effects of mulching on biomass nutrients and soil</t>
  </si>
  <si>
    <t>of organic materials for surface mulching are scarce due to the</t>
  </si>
  <si>
    <t>paths to integration 159 sheet mulching 115, 253 plantations, design of</t>
  </si>
  <si>
    <t>systems that offer healthy and nutritious food, and also preserve the</t>
  </si>
  <si>
    <t>programme will be to provide nutritious food to the poorest of</t>
  </si>
  <si>
    <t>vegetable production in importance of nutritious diet, or foods whilst subsidizing</t>
  </si>
  <si>
    <t>particular the production of sufficient nutritious and safe food, adaptation to</t>
  </si>
  <si>
    <t>of 12 t ha-1 soil organic carbon are saved and 180</t>
  </si>
  <si>
    <t>vegetation increases the annual soil organic matter and release of CO2</t>
  </si>
  <si>
    <t>(formal composting process)? 1.11 Percentage organic fertiliser vs total fertiliser applied</t>
  </si>
  <si>
    <t>warning of management effect on organic matter Forms of N Availability</t>
  </si>
  <si>
    <t>Arshad-SQI.pdf</t>
  </si>
  <si>
    <t>from, and other times new organisations were launched. While most large</t>
  </si>
  <si>
    <t>regenerative farming practices, or by organisations and networks that aim to</t>
  </si>
  <si>
    <t>in international institutions and research organisations Southern Africa this year; that</t>
  </si>
  <si>
    <t>additional allowances. Both individuals and organisations can choose to utilise carbon</t>
  </si>
  <si>
    <t>creating a stronger sense of ownership and helps to rebalance inequitable</t>
  </si>
  <si>
    <t>of total agricultural population with ownership or secure rights over agricultural</t>
  </si>
  <si>
    <t>industrial-scale workplaces, established worker share ownership and decision-making, and made other</t>
  </si>
  <si>
    <t>self-reliance. the increase in the participation of different stake- It is</t>
  </si>
  <si>
    <t>Such methods normally combine stakeholder participation through the development of lists</t>
  </si>
  <si>
    <t>the community has completed. Encourage participation by ev- eryone in the</t>
  </si>
  <si>
    <t>a public exercise. Instead, community participation can be highly valuable in</t>
  </si>
  <si>
    <t>They can be combined with participatory prototyping to inform design decisions</t>
  </si>
  <si>
    <t>a shared landscape vision, have participatory sessions to ­prioritise focus areas,</t>
  </si>
  <si>
    <t>wealth. For example, in several participatory wealth categorisations the wealthiest farmers</t>
  </si>
  <si>
    <t>result of an inclusive and participatory process that involved multiple stakeholders</t>
  </si>
  <si>
    <t>mean and variance estimates for peer groups to ture, a dominant</t>
  </si>
  <si>
    <t>Nunes-SHAPE.pdf</t>
  </si>
  <si>
    <t>the farm is qualified for peer review visit in six months.</t>
  </si>
  <si>
    <t>of 2% within the same peer group (suborder and textural combi-</t>
  </si>
  <si>
    <t>tools. Coupled with an external peer review process, this promotes the</t>
  </si>
  <si>
    <t>phase of the latter. Agroforestry, permaculture or silvo-pastoral systems make use</t>
  </si>
  <si>
    <t>is agronomically important for integrated pest management, nutrient cycling, and ecotourism</t>
  </si>
  <si>
    <t>Andrews-SMAF.pdf</t>
  </si>
  <si>
    <t>or with the interruption of pest and disease cycles. Smallholder families</t>
  </si>
  <si>
    <t>interacting organisms to self- regulate pest outbreaks. DIVERSITY DIVERSITY RECYCLING RECYCLING</t>
  </si>
  <si>
    <t>FAO-agroecology.pdf</t>
  </si>
  <si>
    <t>expected soil conditions, hydrogeological studies, pest impact and benefits of the</t>
  </si>
  <si>
    <t>however. is typically close to policy-making circles, and due to spatial</t>
  </si>
  <si>
    <t>Birner-PEPSA.pdf</t>
  </si>
  <si>
    <t>characteristics of indicators useful for policy-making are that they:  relate</t>
  </si>
  <si>
    <t>(Issues related to evaluating the policy-making process are discussed in the</t>
  </si>
  <si>
    <t>women at all levels of policy-making and implementation for biological diversity</t>
  </si>
  <si>
    <t>forms of pest control and pollinating insects. In principle, water is</t>
  </si>
  <si>
    <t>the ecosystem. Complex interactions between pollinating species such as bees, birds,</t>
  </si>
  <si>
    <t>food provision, including soil micro-biota, pollinators and other insects such as</t>
  </si>
  <si>
    <t>PRODUCED Natural vegetation, trees and pollinators Productive area covered by natural</t>
  </si>
  <si>
    <t>which ultimately affects water and pollinators needed for agriculture. Similarly, focusing</t>
  </si>
  <si>
    <t>found that forest- 40 based pollinators increased coffee yields by 20%</t>
  </si>
  <si>
    <t>MODEL c. The interconnection of practices and Practices benefits Agroecological systems</t>
  </si>
  <si>
    <t>outcomes. Once outcomes are selected, practices and principles that improve the</t>
  </si>
  <si>
    <t>SAI-RAAG.pdf</t>
  </si>
  <si>
    <t>ISFM principles into flexible field practices presented in ways best understood</t>
  </si>
  <si>
    <t>applications. In semi-arid areas, ISFM practices may be strategically combined with</t>
  </si>
  <si>
    <t>consumption of food (plus the preservation of biodiversity, the main- tenance</t>
  </si>
  <si>
    <t>Ploeg-PEAE.pdf</t>
  </si>
  <si>
    <t>distortions. yielding crops and durable preservation and storage methods. iii) Increase</t>
  </si>
  <si>
    <t>chemicals vs. traditional methods for preservation Table 4.5 Participatory categorisation of</t>
  </si>
  <si>
    <t>organisation, rural devel- opment and preservation of the social fabric (e.g.</t>
  </si>
  <si>
    <t>point out the need for preventive and restorative measures; criterium for</t>
  </si>
  <si>
    <t>level at which a specific preventive or restorative substances or soil</t>
  </si>
  <si>
    <t>the threshold in decision‑making where preventive and restorative action will be</t>
  </si>
  <si>
    <t>specific opportunities for Food security preventive interventions and a greater convergence</t>
  </si>
  <si>
    <t>Montg-SHOHPH.pdf</t>
  </si>
  <si>
    <t>prices</t>
  </si>
  <si>
    <t>Through simple, learn about product prices in a timely, easy-to-fill-in forms</t>
  </si>
  <si>
    <t>soil fertility. Specifically, lowering fertilizer prices reduced the area of legumes</t>
  </si>
  <si>
    <t>more opportunity to impose lower prices on producers (since the supply</t>
  </si>
  <si>
    <t>the social welfare net, low prices for food and other natural</t>
  </si>
  <si>
    <t>create employment, the Ecovida Network procurement programmes (today a young managed</t>
  </si>
  <si>
    <t>in green technology) Green public procurement Reform of environmentally harmful subsidies</t>
  </si>
  <si>
    <t>agencies can use the reference procurement programmes could be wide prices</t>
  </si>
  <si>
    <t>among processors vironmental regulations, public procurement and retailers may drive farmers’</t>
  </si>
  <si>
    <t>be included to ensure the protection and conservation of critical habitats</t>
  </si>
  <si>
    <t>pool agent dispersal (Biotic) conditions protection CICES Regulation &amp; Regulation of</t>
  </si>
  <si>
    <t>CICES.pdf</t>
  </si>
  <si>
    <t>the rainy season and enjoy protection from predators by a chemical</t>
  </si>
  <si>
    <t>conditions</t>
  </si>
  <si>
    <t>protection) populations and (Biotic) conditions protection habitats CICES Regulation &amp; Regulation</t>
  </si>
  <si>
    <t>situ volumetric A multi‑institutional soil quality monitoring network. Comptes water content</t>
  </si>
  <si>
    <t>local relevance; similar to water quality improvement funding distributed by watershed</t>
  </si>
  <si>
    <t>MN-SHAF.pdf</t>
  </si>
  <si>
    <t>address: arshadc@em.agr.ca (M.A. Arshad). soil quality act, similar to the water</t>
  </si>
  <si>
    <t>2004. Watershed-scale assessment of soil quality in the Loess Hills organic</t>
  </si>
  <si>
    <t>rainwater</t>
  </si>
  <si>
    <t>by the poor development of rainwater tanks and small earth dams</t>
  </si>
  <si>
    <t>bright spots: The case of rainwater harvesting in West Africa. Agricultural</t>
  </si>
  <si>
    <t>113 Introduction of compost toilets, rainwater tanks and other water-conserving strategies</t>
  </si>
  <si>
    <t>practices vary run-off of excess rainwater or subsurface flow; gully erosion</t>
  </si>
  <si>
    <t>is no longer an option, reclamation of saline soils can be</t>
  </si>
  <si>
    <t>al., 2014). Therefore, the all reclamation projects enhance natural capi- most</t>
  </si>
  <si>
    <t>124, 154 conservation 13, 150 reclamation 107 gender equity 174-176 laboratory</t>
  </si>
  <si>
    <t>restoring degraded neighbourhoods after appropriate reclamation measures have been implemented. Ecological</t>
  </si>
  <si>
    <t>that works to enable the recovery of the rich savethemed.org biodiversity</t>
  </si>
  <si>
    <t>water development in and economic recovery by 2015. This document sets</t>
  </si>
  <si>
    <t>labor resources are limited, achieving recovery of a complex biologically productive</t>
  </si>
  <si>
    <t>water acidification, and also biological recovery (e.g. fertilisation'. Based on a</t>
  </si>
  <si>
    <t>reusable (e.g. glass bottles), or recyclable into new products. ! T</t>
  </si>
  <si>
    <t>(for example: glass bottles) or recyclable if the local infrastructure is</t>
  </si>
  <si>
    <t>packs), or reusable or entirely recyclable materials (e.g. glass). Plastic packaging</t>
  </si>
  <si>
    <t>#NAME?</t>
  </si>
  <si>
    <t>is an effective mode of recycling 40 This small company’s mission</t>
  </si>
  <si>
    <t>resulting from biomass production and recycling (Figure 1.3). Uptake efficiency (Quadrant</t>
  </si>
  <si>
    <t>ecological and biological services. By recycling nutrients within the farm or</t>
  </si>
  <si>
    <t>meaning that the absence or reduction of one category can affect</t>
  </si>
  <si>
    <t>weed biomass and (d) a reduction factor for maize yields as</t>
  </si>
  <si>
    <t>and output of the agricultural reduction in both rural and urban</t>
  </si>
  <si>
    <t>CARBON FINANCE Avoided emissions, Emissions reduction with Emissions reduction with Carbon</t>
  </si>
  <si>
    <t>■ Use of all relevant forms of knowledge and information</t>
  </si>
  <si>
    <t>management but may not be relevant in all countries B and</t>
  </si>
  <si>
    <t>specify the procedure in the relevant parts of the questionnaire. A</t>
  </si>
  <si>
    <t>highest quality standard and accordingly, relevant costs of production are used</t>
  </si>
  <si>
    <t>value for increased use of renewable energy technologies, complemented by ecosystem</t>
  </si>
  <si>
    <t>Minofu</t>
  </si>
  <si>
    <t>accumulation of renewable and non­ renewable resources according to Holling's Four-Phase</t>
  </si>
  <si>
    <t>trees are clearly the best renewable energy source for the future.</t>
  </si>
  <si>
    <t>favourable net energy evaluations for renewable biomass as sources of fuel</t>
  </si>
  <si>
    <t>product development has resulted in respectable softwood that supplies the bulk</t>
  </si>
  <si>
    <t>"breeding better people", was a respectable field of research; its many</t>
  </si>
  <si>
    <t>and the Poverty demand and respectable disposable incomes. Reduction Strategies: on</t>
  </si>
  <si>
    <t>its combination of modest but respectable increases in fertilizer use with</t>
  </si>
  <si>
    <t>will include: assured through the retention by farmers’ groups of •</t>
  </si>
  <si>
    <t>can improve water infiltration and retention in the short term. Retention</t>
  </si>
  <si>
    <t>indicator surface water, respectively. N retention to groundwater scored values of</t>
  </si>
  <si>
    <t>and full stubble and residue retention (Derpsch 2008). Over the following</t>
  </si>
  <si>
    <t>KNOWLEDGE natural fibre packs), or reusable or entirely recyclable materials (e.g.</t>
  </si>
  <si>
    <t>to findable, accessible, interoperable, and reusable (FAIR) principles and ensure open</t>
  </si>
  <si>
    <t>durable, washable burlap bags and reusable material. They can be customized</t>
  </si>
  <si>
    <t>Meanwhile, non-organic INPUTS waste is reusable (e.g. glass bottles), or recyclable</t>
  </si>
  <si>
    <t>and intentional communities 175 container reuse 113 Self-Regulation in Managed origins</t>
  </si>
  <si>
    <t>Waste Recycling Goal involves the reuse of animal (or other) waste</t>
  </si>
  <si>
    <t>in Cultivated Landscapes 227 container reuse 113 good 13, 17 edges</t>
  </si>
  <si>
    <t>materials once we have exhausted reuse and repair options. The wide­</t>
  </si>
  <si>
    <t>When appropriate sets of property rights are put in force, the</t>
  </si>
  <si>
    <t>institution that gives someone possession rights to use things and to</t>
  </si>
  <si>
    <t>② Land tenure and use rights • Identification of land ownership</t>
  </si>
  <si>
    <t>constraint to food security property rights and biotechnology. in Africa. Despite</t>
  </si>
  <si>
    <t>basis or through a crop rotation plan. Planning becomes particularly challenging</t>
  </si>
  <si>
    <t>removals, regular reassessment of Crop rotation 3 years on the same</t>
  </si>
  <si>
    <t>emissions from an irrigated cropping rotation with dairy manure utilization in</t>
  </si>
  <si>
    <t>provides tillage system with improved rotation a template for the Soil</t>
  </si>
  <si>
    <t>circular (bio)economy, reversing biodiversity loss, safeguarding human health, halting 12 IPBES</t>
  </si>
  <si>
    <t>manage their soils. In Africa, safeguarding agriculture-based livelihoods must therefore begin</t>
  </si>
  <si>
    <t>some techniques to consider when sharing a landscape story. Interviewing Telling</t>
  </si>
  <si>
    <t>common soil health framework for sharing and integrating field measurements and</t>
  </si>
  <si>
    <t>Jian-DGSHA.pdf</t>
  </si>
  <si>
    <t>land tenure rights, when devising sharing aimed at attracting blended financial</t>
  </si>
  <si>
    <t>and the fair and equitable sharing of benefits arising from the</t>
  </si>
  <si>
    <t>economy.24 The irony in this social succession process is that the</t>
  </si>
  <si>
    <t>publishing policy briefs, engaging in social media or providing stories to</t>
  </si>
  <si>
    <t>subscription farming and other sustainable social and economic alternatives, can be</t>
  </si>
  <si>
    <t>individual economic agents and the social opportunity cost of using them.</t>
  </si>
  <si>
    <t>have the highest proportion of species threat- BOREAL ened with extinction.</t>
  </si>
  <si>
    <t>traditional or indigenous vegetables. Some species of traditional vegetables may be</t>
  </si>
  <si>
    <t>for the protection of threatened species and populations; (l) Where a</t>
  </si>
  <si>
    <t>(and/or other perennials) of different species integrated within the farm land.</t>
  </si>
  <si>
    <t>regarded as a form of stewardship in which one leaves the</t>
  </si>
  <si>
    <t>the knowledge base for soil stewardship and widen the access to</t>
  </si>
  <si>
    <t>O. Schmidt, B.J. McMahon, Soil stewardship as a nexus between [21]</t>
  </si>
  <si>
    <t>Payments; changes in productivity toward stewardship (Wander and interpreting watershed scale</t>
  </si>
  <si>
    <t>lived storage long-lived storage without storage Forward-looking, Clear retrospective • Avoided</t>
  </si>
  <si>
    <t>erosion. Impaired water movement and storage create greater risk during heavy</t>
  </si>
  <si>
    <t>United Kingdom, Verheijen high water storage capacity of silt, which allows</t>
  </si>
  <si>
    <t>OFF-FARM Manure collection, 10 demand storage &amp; quality Employment Milk, meat,</t>
  </si>
  <si>
    <t>FAO. 2016a. Innovative markets for sustainable agriculture: How innovations in market</t>
  </si>
  <si>
    <t>practices farmer support systems for sustainable commodity production. The from a</t>
  </si>
  <si>
    <t>and co-design effective guidance to sustainable commodity production practitioners from landscape</t>
  </si>
  <si>
    <t>and to drive meaningful and sustainable change in the landscape. 84</t>
  </si>
  <si>
    <t>and food traditions play a tradition and modern food habits, bringing</t>
  </si>
  <si>
    <t>stable norm, a break with tradition and the established ways. However,</t>
  </si>
  <si>
    <t>decision-maker might be motivated by tradition (my family has farmed MA_CF-85-106.pmd</t>
  </si>
  <si>
    <t>or knowledge become entrenched through tradition and institutions. Over long periods</t>
  </si>
  <si>
    <t>follow a vegan diet. In traditional Tibetan society, the killing of</t>
  </si>
  <si>
    <t>1993). It was cultivated during traditional times in the Kingdom of</t>
  </si>
  <si>
    <t>and a myriad of other traditional and novel ways to catch</t>
  </si>
  <si>
    <t>assessment to include local and traditional knowl- edge. Inevitably, however, while</t>
  </si>
  <si>
    <t>development of viable systems of transfer Research in this component will</t>
  </si>
  <si>
    <t>the bi- dependent on knowledge transfer to and from practice be-</t>
  </si>
  <si>
    <t>Stockdale-CFMSH.pdf</t>
  </si>
  <si>
    <t>based trading can facilitate the transfer of climate-friendly technologies to developing</t>
  </si>
  <si>
    <t>in Africa to encompass new transfer payments for land users providing</t>
  </si>
  <si>
    <t>or acres available to historically underrepresented individuals or groups. Healthy Soils</t>
  </si>
  <si>
    <t>traditionally 5.1 Strong multi-stakeholder platform underrepresented groups (e.g., minorities, women, youth).</t>
  </si>
  <si>
    <t>programs: The number of historically underrepresented producers with access to programs</t>
  </si>
  <si>
    <t>participatory While we recognize the uniqueness of one another, the communities</t>
  </si>
  <si>
    <t>as it is useful. The uniqueness of your landscape will mean</t>
  </si>
  <si>
    <t>circumstances, particularly the use of vermicomposting and municipal wastes in urban</t>
  </si>
  <si>
    <t>Frequently inspect the bed during vermicomposting for moisture and the presence</t>
  </si>
  <si>
    <t>another species well adapted to vermicomposting in the tropics that is</t>
  </si>
  <si>
    <t>fungal and bacterial communities during vermicomposting of sewage C. Zanella, A.A.</t>
  </si>
  <si>
    <t>water, air and water quality, waste based. People have beneﬁted in</t>
  </si>
  <si>
    <t>HLPE. 2014. Food losses and waste in the context of sustainable</t>
  </si>
  <si>
    <t>despite the promises of reducing waste (the myth of the paperless</t>
  </si>
  <si>
    <t>or burnt). Large amounts of waste are discharged or burnt. &gt;&gt;</t>
  </si>
  <si>
    <t>developing regions, along 200 with wastewater discharges, overshadowing the possible beneﬁts</t>
  </si>
  <si>
    <t>measure than others (point source wastewater discharges tend to be better</t>
  </si>
  <si>
    <t>halving the proportion of untreated wastewater and substantially increasing recycling and</t>
  </si>
  <si>
    <t>and focus of resto- ficial wastewater treatment plants, fish farms at</t>
  </si>
  <si>
    <t>TEEB.pdf</t>
  </si>
  <si>
    <t>7). terms of land and water development, and, to a certain</t>
  </si>
  <si>
    <t>together through tillage or stress water range traffic with heavy equipment,</t>
  </si>
  <si>
    <t>investment in sustainable land and water management (SLWM). The partnership was</t>
  </si>
  <si>
    <t>soil types. Soils exhibit low water holding and cation exchange capacities</t>
  </si>
  <si>
    <t>it does not include the wisdom of practitioners and of the</t>
  </si>
  <si>
    <t>or before there is enough wisdom and maturity in how collective</t>
  </si>
  <si>
    <t>can pass on the leamt wisdom and provide sanctions and taboos</t>
  </si>
  <si>
    <t>be'..iuse much of the accepted wisdom on development strategy ignores these</t>
  </si>
  <si>
    <t>mosaic of stunted heathy eucalypt woodland and reed and rush swamps</t>
  </si>
  <si>
    <t>Polar Dryland Coastal Forest and woodland Polar Population growth Net primary</t>
  </si>
  <si>
    <t>that in native forest and woodland (see Plant and Animal Biomass</t>
  </si>
  <si>
    <t>or greater in range, and woodland soils than for soils under</t>
  </si>
  <si>
    <t>and lower prices for (Guinea worm water food have not been</t>
  </si>
  <si>
    <t>are a large prolific African worm that is ideal as fish</t>
  </si>
  <si>
    <t>Thematic Area</t>
  </si>
  <si>
    <t xml:space="preserve">Agroecological principle </t>
  </si>
  <si>
    <t xml:space="preserve">Indicator </t>
  </si>
  <si>
    <t>economic </t>
  </si>
  <si>
    <t>Connectivity </t>
  </si>
  <si>
    <t>fairness </t>
  </si>
  <si>
    <t>equitable </t>
  </si>
  <si>
    <t>social just </t>
  </si>
  <si>
    <t>markets </t>
  </si>
  <si>
    <t>decent jobs </t>
  </si>
  <si>
    <t>respectable </t>
  </si>
  <si>
    <t>quality </t>
  </si>
  <si>
    <t>working conditions </t>
  </si>
  <si>
    <t>labor </t>
  </si>
  <si>
    <t>employment </t>
  </si>
  <si>
    <t>traditional knowledge </t>
  </si>
  <si>
    <t>protection </t>
  </si>
  <si>
    <t>preservation </t>
  </si>
  <si>
    <t>indigenous </t>
  </si>
  <si>
    <t>safeguarding </t>
  </si>
  <si>
    <t>practices </t>
  </si>
  <si>
    <t>intellectual property </t>
  </si>
  <si>
    <t>rights </t>
  </si>
  <si>
    <t> laws </t>
  </si>
  <si>
    <t>Economic diversification </t>
  </si>
  <si>
    <t>economic diversification </t>
  </si>
  <si>
    <t>value chain </t>
  </si>
  <si>
    <t>  price </t>
  </si>
  <si>
    <t> Local food system </t>
  </si>
  <si>
    <t> Local producer markets </t>
  </si>
  <si>
    <t> Traditional market </t>
  </si>
  <si>
    <t> Origin labelling </t>
  </si>
  <si>
    <t> Certificate of origin </t>
  </si>
  <si>
    <t> Certification </t>
  </si>
  <si>
    <t>Value addition </t>
  </si>
  <si>
    <t> Post-harvest </t>
  </si>
  <si>
    <t> Processing </t>
  </si>
  <si>
    <t> Off-farm </t>
  </si>
  <si>
    <t> Farm income </t>
  </si>
  <si>
    <t> Crop income </t>
  </si>
  <si>
    <t> Income </t>
  </si>
  <si>
    <t> Job </t>
  </si>
  <si>
    <t> Work </t>
  </si>
  <si>
    <t> Business </t>
  </si>
  <si>
    <t> Wage </t>
  </si>
  <si>
    <t>Salary </t>
  </si>
  <si>
    <t>Earnings </t>
  </si>
  <si>
    <t>Non-farm </t>
  </si>
  <si>
    <t>Food drying </t>
  </si>
  <si>
    <t>Packaging </t>
  </si>
  <si>
    <t>Sell animal products </t>
  </si>
  <si>
    <t>Sell milk </t>
  </si>
  <si>
    <t>Sell meat </t>
  </si>
  <si>
    <t>Sell honey </t>
  </si>
  <si>
    <t>Sell eggs </t>
  </si>
  <si>
    <t>Yoghurt making </t>
  </si>
  <si>
    <t>Pasteurization </t>
  </si>
  <si>
    <t>Sell timber </t>
  </si>
  <si>
    <t>Sell fruit </t>
  </si>
  <si>
    <t>Sell firewood </t>
  </si>
  <si>
    <t>Charcoal production </t>
  </si>
  <si>
    <t>Sell charcoal </t>
  </si>
  <si>
    <t>Improved storage </t>
  </si>
  <si>
    <t>Hermetic bags </t>
  </si>
  <si>
    <t>Cold storage </t>
  </si>
  <si>
    <t>Biological pest control </t>
  </si>
  <si>
    <t>Credit </t>
  </si>
  <si>
    <t>Loan </t>
  </si>
  <si>
    <t>Insurance </t>
  </si>
  <si>
    <t>Access to finance </t>
  </si>
  <si>
    <t>Association </t>
  </si>
  <si>
    <t>Network </t>
  </si>
  <si>
    <t>Cooperative </t>
  </si>
  <si>
    <t>Farmer organization </t>
  </si>
  <si>
    <t>Organic certification </t>
  </si>
  <si>
    <t>Certification </t>
  </si>
  <si>
    <t>Land and natural resource governance </t>
  </si>
  <si>
    <t>consumers and producers </t>
  </si>
  <si>
    <t>food chain </t>
  </si>
  <si>
    <t>procurement </t>
  </si>
  <si>
    <t>cooperatives </t>
  </si>
  <si>
    <t>organizations </t>
  </si>
  <si>
    <t>community group </t>
  </si>
  <si>
    <t>connections </t>
  </si>
  <si>
    <t> Producer-consumer </t>
  </si>
  <si>
    <t>Regulations </t>
  </si>
  <si>
    <t> Branding </t>
  </si>
  <si>
    <t> School feeding </t>
  </si>
  <si>
    <t> Inclusive policy </t>
  </si>
  <si>
    <t> Dialogues </t>
  </si>
  <si>
    <t> Mult-stakeholder </t>
  </si>
  <si>
    <t> Farmer organization </t>
  </si>
  <si>
    <t> Evidence-based </t>
  </si>
  <si>
    <t> Science-policy </t>
  </si>
  <si>
    <t> Interface </t>
  </si>
  <si>
    <t> Rights </t>
  </si>
  <si>
    <t> Land tenure </t>
  </si>
  <si>
    <t> Payment for ecosystem services </t>
  </si>
  <si>
    <t>Subsidies </t>
  </si>
  <si>
    <t>environmental </t>
  </si>
  <si>
    <t>Biodiversity </t>
  </si>
  <si>
    <t> Conservation </t>
  </si>
  <si>
    <t>forest </t>
  </si>
  <si>
    <t>Land use diversity </t>
  </si>
  <si>
    <t>woodland </t>
  </si>
  <si>
    <t>insects </t>
  </si>
  <si>
    <t>biodiversity </t>
  </si>
  <si>
    <t>Boundary planting </t>
  </si>
  <si>
    <t>crop diversity </t>
  </si>
  <si>
    <t>Crop rotation </t>
  </si>
  <si>
    <t>diversity </t>
  </si>
  <si>
    <t>Flower strips </t>
  </si>
  <si>
    <t>Inter-cropping </t>
  </si>
  <si>
    <t>Natural pollinators </t>
  </si>
  <si>
    <t>natural predators </t>
  </si>
  <si>
    <t>pest </t>
  </si>
  <si>
    <t>pollinating </t>
  </si>
  <si>
    <t>pollinators </t>
  </si>
  <si>
    <t>Polyculture </t>
  </si>
  <si>
    <t>rotation </t>
  </si>
  <si>
    <t>Sequential cropping </t>
  </si>
  <si>
    <t>Spatial diversity </t>
  </si>
  <si>
    <t>Strip cropping </t>
  </si>
  <si>
    <t> diversified </t>
  </si>
  <si>
    <t> Local seed </t>
  </si>
  <si>
    <t> Local varieties </t>
  </si>
  <si>
    <t> Organic seed </t>
  </si>
  <si>
    <t> Seed banks </t>
  </si>
  <si>
    <t>Land races </t>
  </si>
  <si>
    <t>Local seed system </t>
  </si>
  <si>
    <t>Locally adapted crops </t>
  </si>
  <si>
    <t>Native species </t>
  </si>
  <si>
    <t>Neglected crops  </t>
  </si>
  <si>
    <t>Opportunity crops </t>
  </si>
  <si>
    <t>Orphan crops </t>
  </si>
  <si>
    <t>Participatory breeding </t>
  </si>
  <si>
    <t>species </t>
  </si>
  <si>
    <t>Diversified diets </t>
  </si>
  <si>
    <t>Nutritional diversity </t>
  </si>
  <si>
    <t>Recycling </t>
  </si>
  <si>
    <t>recyclable </t>
  </si>
  <si>
    <t>recycling </t>
  </si>
  <si>
    <t>reusable </t>
  </si>
  <si>
    <t>reuse </t>
  </si>
  <si>
    <t>waste </t>
  </si>
  <si>
    <t>nutrient cycling </t>
  </si>
  <si>
    <t>cycles </t>
  </si>
  <si>
    <t>cycling </t>
  </si>
  <si>
    <t>reclamation </t>
  </si>
  <si>
    <t>recovery </t>
  </si>
  <si>
    <t>biomass </t>
  </si>
  <si>
    <t>organic </t>
  </si>
  <si>
    <t>Waste water </t>
  </si>
  <si>
    <t>Grey water </t>
  </si>
  <si>
    <t>water </t>
  </si>
  <si>
    <t>Rainwater harvesting </t>
  </si>
  <si>
    <t>harvesting </t>
  </si>
  <si>
    <t> Renewable energy </t>
  </si>
  <si>
    <t>Solar </t>
  </si>
  <si>
    <t> Local exchange </t>
  </si>
  <si>
    <t> Purchase seed </t>
  </si>
  <si>
    <t>Seed sav </t>
  </si>
  <si>
    <t>Soil health </t>
  </si>
  <si>
    <t>biochar </t>
  </si>
  <si>
    <t>composting </t>
  </si>
  <si>
    <t>crop residue </t>
  </si>
  <si>
    <t>manure </t>
  </si>
  <si>
    <t>microbial </t>
  </si>
  <si>
    <t>organic matter </t>
  </si>
  <si>
    <t>soil amendment </t>
  </si>
  <si>
    <t>vermicomposting </t>
  </si>
  <si>
    <t>worm </t>
  </si>
  <si>
    <t>soil </t>
  </si>
  <si>
    <t>health </t>
  </si>
  <si>
    <t>permaculture </t>
  </si>
  <si>
    <t>permanent </t>
  </si>
  <si>
    <t>organic farming </t>
  </si>
  <si>
    <t>mulch </t>
  </si>
  <si>
    <t>soil cover </t>
  </si>
  <si>
    <t> Soil quality </t>
  </si>
  <si>
    <t> Terrace </t>
  </si>
  <si>
    <t> Contour planting </t>
  </si>
  <si>
    <t>cover crop </t>
  </si>
  <si>
    <t>Band </t>
  </si>
  <si>
    <t>Minimum till </t>
  </si>
  <si>
    <t>No-till </t>
  </si>
  <si>
    <t>Rotation </t>
  </si>
  <si>
    <t>Synergy </t>
  </si>
  <si>
    <t>synergy </t>
  </si>
  <si>
    <t>agroecological </t>
  </si>
  <si>
    <t>agroecology </t>
  </si>
  <si>
    <t>redesign </t>
  </si>
  <si>
    <t>ecological </t>
  </si>
  <si>
    <t>diversification </t>
  </si>
  <si>
    <t>variety </t>
  </si>
  <si>
    <t>planting </t>
  </si>
  <si>
    <t>intercropping </t>
  </si>
  <si>
    <t>mixed </t>
  </si>
  <si>
    <t>cropping </t>
  </si>
  <si>
    <t>integrated </t>
  </si>
  <si>
    <t>holistic </t>
  </si>
  <si>
    <t>circular </t>
  </si>
  <si>
    <t>habitat </t>
  </si>
  <si>
    <t>ecosystem </t>
  </si>
  <si>
    <t>stewardship </t>
  </si>
  <si>
    <t>landscape </t>
  </si>
  <si>
    <t> Non-crop plants </t>
  </si>
  <si>
    <t> Weeds for food </t>
  </si>
  <si>
    <t>Weeds for forage </t>
  </si>
  <si>
    <t>Agroforestry </t>
  </si>
  <si>
    <t>Alley </t>
  </si>
  <si>
    <t>Pastures </t>
  </si>
  <si>
    <t>Shade trees </t>
  </si>
  <si>
    <t>Rotational grazing </t>
  </si>
  <si>
    <t>Silvopasture </t>
  </si>
  <si>
    <t>Fish-duck-rice system </t>
  </si>
  <si>
    <t>Integrated crop-livestock </t>
  </si>
  <si>
    <t>Crop-livestock </t>
  </si>
  <si>
    <t>Regenerative </t>
  </si>
  <si>
    <t>Push-pull </t>
  </si>
  <si>
    <t>Integration </t>
  </si>
  <si>
    <t>Integrated pest management </t>
  </si>
  <si>
    <t>Natural enemies </t>
  </si>
  <si>
    <t>Habitat </t>
  </si>
  <si>
    <t>Reforestation </t>
  </si>
  <si>
    <t>Restoration </t>
  </si>
  <si>
    <t>Preservation </t>
  </si>
  <si>
    <t>Hedgerows </t>
  </si>
  <si>
    <t>Half-moon </t>
  </si>
  <si>
    <t>Terracing </t>
  </si>
  <si>
    <t>Erosion control </t>
  </si>
  <si>
    <t>Natural habitat </t>
  </si>
  <si>
    <t>Climate mitigation </t>
  </si>
  <si>
    <t>Carbon stock </t>
  </si>
  <si>
    <t>Green house gas </t>
  </si>
  <si>
    <t>Emissions </t>
  </si>
  <si>
    <t>Terracing</t>
  </si>
  <si>
    <t>Erosion control</t>
  </si>
  <si>
    <t>Hedgerows</t>
  </si>
  <si>
    <t>Half-moon</t>
  </si>
  <si>
    <t>Zai pits</t>
  </si>
  <si>
    <t>Mulch</t>
  </si>
  <si>
    <t>Cover crops</t>
  </si>
  <si>
    <t>Green manure</t>
  </si>
  <si>
    <t>Regenerative</t>
  </si>
  <si>
    <t>Push-pull</t>
  </si>
  <si>
    <t>Integration</t>
  </si>
  <si>
    <t>Integrated crop-livestock</t>
  </si>
  <si>
    <t>Crop-livestock</t>
  </si>
  <si>
    <t>Integrated pest management</t>
  </si>
  <si>
    <t>Biological pest control</t>
  </si>
  <si>
    <t>Natural enemies</t>
  </si>
  <si>
    <t>Climate mitigation</t>
  </si>
  <si>
    <t>Carbon stock</t>
  </si>
  <si>
    <t>Green house gas</t>
  </si>
  <si>
    <t>Emissions</t>
  </si>
  <si>
    <t>Non-crop plants</t>
  </si>
  <si>
    <t>Weeds for food</t>
  </si>
  <si>
    <t>Weeds for forage</t>
  </si>
  <si>
    <t>Agroforestry</t>
  </si>
  <si>
    <t>Shade trees</t>
  </si>
  <si>
    <t>Natural habitat</t>
  </si>
  <si>
    <t>Reforestation</t>
  </si>
  <si>
    <t>Restoration</t>
  </si>
  <si>
    <t>Preservation</t>
  </si>
  <si>
    <t>social </t>
  </si>
  <si>
    <t>Co-creation of knowledge </t>
  </si>
  <si>
    <t>co-creation </t>
  </si>
  <si>
    <t>knowledge </t>
  </si>
  <si>
    <t>farmer-to-farmer </t>
  </si>
  <si>
    <t>learning </t>
  </si>
  <si>
    <t>peer </t>
  </si>
  <si>
    <t> information </t>
  </si>
  <si>
    <t>sharing </t>
  </si>
  <si>
    <t>transfer </t>
  </si>
  <si>
    <t>traditional </t>
  </si>
  <si>
    <t>indigenous knowledge </t>
  </si>
  <si>
    <t>dissemination </t>
  </si>
  <si>
    <t>wisdom </t>
  </si>
  <si>
    <t> Bottom-up </t>
  </si>
  <si>
    <t> Participatory </t>
  </si>
  <si>
    <t> Farmer group </t>
  </si>
  <si>
    <t> Social media group </t>
  </si>
  <si>
    <t> Community of practice </t>
  </si>
  <si>
    <t> Farmer field school </t>
  </si>
  <si>
    <t> Field school </t>
  </si>
  <si>
    <t> Multi-stakeholder </t>
  </si>
  <si>
    <t> Decision-making </t>
  </si>
  <si>
    <t>Knowledge exchange </t>
  </si>
  <si>
    <t>Access to extension </t>
  </si>
  <si>
    <t>Sensitization </t>
  </si>
  <si>
    <t>Formal education </t>
  </si>
  <si>
    <t>co-creat</t>
  </si>
  <si>
    <t>farmer-led</t>
  </si>
  <si>
    <t xml:space="preserve"> farmer-centered</t>
  </si>
  <si>
    <t xml:space="preserve"> inclusive</t>
  </si>
  <si>
    <t xml:space="preserve"> equitable</t>
  </si>
  <si>
    <t xml:space="preserve"> peer</t>
  </si>
  <si>
    <t xml:space="preserve"> participat</t>
  </si>
  <si>
    <t xml:space="preserve"> participant</t>
  </si>
  <si>
    <t xml:space="preserve"> collaborat</t>
  </si>
  <si>
    <t xml:space="preserve"> decision-making</t>
  </si>
  <si>
    <t xml:space="preserve"> learn</t>
  </si>
  <si>
    <t xml:space="preserve"> information sharing</t>
  </si>
  <si>
    <t xml:space="preserve"> knowledge transfer</t>
  </si>
  <si>
    <t xml:space="preserve"> farmer knowledge</t>
  </si>
  <si>
    <t xml:space="preserve"> dissemination</t>
  </si>
  <si>
    <t xml:space="preserve"> knowledge exchange</t>
  </si>
  <si>
    <t xml:space="preserve"> knowledge co-creation</t>
  </si>
  <si>
    <t xml:space="preserve"> knowledge co-production</t>
  </si>
  <si>
    <t>farmer group</t>
  </si>
  <si>
    <t xml:space="preserve"> community of practice</t>
  </si>
  <si>
    <t xml:space="preserve"> farmer field school</t>
  </si>
  <si>
    <t xml:space="preserve"> field school</t>
  </si>
  <si>
    <t xml:space="preserve"> multi-stakeholder</t>
  </si>
  <si>
    <t>socially just</t>
  </si>
  <si>
    <t xml:space="preserve"> social justice</t>
  </si>
  <si>
    <t xml:space="preserve"> wisdom</t>
  </si>
  <si>
    <t xml:space="preserve"> tacit knowledge</t>
  </si>
  <si>
    <t xml:space="preserve"> localised</t>
  </si>
  <si>
    <t xml:space="preserve"> context</t>
  </si>
  <si>
    <t xml:space="preserve"> situation-specific</t>
  </si>
  <si>
    <t xml:space="preserve"> contextual</t>
  </si>
  <si>
    <t xml:space="preserve">  access to extension</t>
  </si>
  <si>
    <t xml:space="preserve"> sensitisation</t>
  </si>
  <si>
    <t xml:space="preserve"> formal education</t>
  </si>
  <si>
    <t>Fairness </t>
  </si>
  <si>
    <t>fair trade </t>
  </si>
  <si>
    <t>power </t>
  </si>
  <si>
    <t>relations </t>
  </si>
  <si>
    <t>network </t>
  </si>
  <si>
    <t>just </t>
  </si>
  <si>
    <t>fair price </t>
  </si>
  <si>
    <t>market </t>
  </si>
  <si>
    <t>intellectual property rights </t>
  </si>
  <si>
    <t>laws </t>
  </si>
  <si>
    <t>Participation </t>
  </si>
  <si>
    <t>ownership </t>
  </si>
  <si>
    <t>inclusive </t>
  </si>
  <si>
    <t>participation </t>
  </si>
  <si>
    <t>broad </t>
  </si>
  <si>
    <t>diverse </t>
  </si>
  <si>
    <t>marginalized </t>
  </si>
  <si>
    <t>groups </t>
  </si>
  <si>
    <t>underrepresented </t>
  </si>
  <si>
    <t>decision-making </t>
  </si>
  <si>
    <t>policy-making </t>
  </si>
  <si>
    <t>governance </t>
  </si>
  <si>
    <t>community-based </t>
  </si>
  <si>
    <t>participatory </t>
  </si>
  <si>
    <t>Social values and diets </t>
  </si>
  <si>
    <t>diets </t>
  </si>
  <si>
    <t>cultural foods </t>
  </si>
  <si>
    <t>indigenous crops </t>
  </si>
  <si>
    <t>heritage </t>
  </si>
  <si>
    <t>uniqueness </t>
  </si>
  <si>
    <t>tradition </t>
  </si>
  <si>
    <t>customs </t>
  </si>
  <si>
    <t>culturally </t>
  </si>
  <si>
    <t>relevant </t>
  </si>
  <si>
    <t>healthy </t>
  </si>
  <si>
    <t>nutritious </t>
  </si>
  <si>
    <t>balanced diet </t>
  </si>
  <si>
    <t> Empower </t>
  </si>
  <si>
    <t> Women empowerment </t>
  </si>
  <si>
    <t> Gender </t>
  </si>
  <si>
    <t> Self-organisation </t>
  </si>
  <si>
    <t> Association </t>
  </si>
  <si>
    <t> Sovereignty </t>
  </si>
  <si>
    <t> Autonomy </t>
  </si>
  <si>
    <t>technical </t>
  </si>
  <si>
    <t>Animal health </t>
  </si>
  <si>
    <t>animal health </t>
  </si>
  <si>
    <t>resilient breed </t>
  </si>
  <si>
    <t>indigenous breed </t>
  </si>
  <si>
    <t>carrying capacity </t>
  </si>
  <si>
    <t>alignment </t>
  </si>
  <si>
    <t>matching </t>
  </si>
  <si>
    <t>resource </t>
  </si>
  <si>
    <t>balance </t>
  </si>
  <si>
    <t>Rotational grazing</t>
  </si>
  <si>
    <t>Silvopasture</t>
  </si>
  <si>
    <t>Fish-duck-rice system</t>
  </si>
  <si>
    <t>Pastures</t>
  </si>
  <si>
    <t>Alley</t>
  </si>
  <si>
    <t>Input reduction </t>
  </si>
  <si>
    <t>reduction </t>
  </si>
  <si>
    <t>preventative </t>
  </si>
  <si>
    <t>preventive </t>
  </si>
  <si>
    <t>nitrogen fixing </t>
  </si>
  <si>
    <t>nitrogen fixation </t>
  </si>
  <si>
    <t>leguminous </t>
  </si>
  <si>
    <t>biological </t>
  </si>
  <si>
    <t>natural control </t>
  </si>
  <si>
    <t>conservation </t>
  </si>
  <si>
    <t>storage </t>
  </si>
  <si>
    <t>retention </t>
  </si>
  <si>
    <t>efficient </t>
  </si>
  <si>
    <t>efficiency </t>
  </si>
  <si>
    <t>renewable </t>
  </si>
  <si>
    <t>generate </t>
  </si>
  <si>
    <t>sustainable </t>
  </si>
  <si>
    <t>farm-saved </t>
  </si>
  <si>
    <t>Organic pesticides </t>
  </si>
  <si>
    <t> Organic </t>
  </si>
  <si>
    <t> Drip irrigation </t>
  </si>
  <si>
    <t>Mulch </t>
  </si>
  <si>
    <t>Cover crops </t>
  </si>
  <si>
    <t>Zai pits </t>
  </si>
  <si>
    <t>Perennial crops </t>
  </si>
  <si>
    <t>Cuttings </t>
  </si>
  <si>
    <t>Planted forage </t>
  </si>
  <si>
    <t>Green manure </t>
  </si>
  <si>
    <t>Biological pesticides </t>
  </si>
  <si>
    <t xml:space="preserve"> preventative</t>
  </si>
  <si>
    <t xml:space="preserve"> preventive</t>
  </si>
  <si>
    <t xml:space="preserve"> practices</t>
  </si>
  <si>
    <t xml:space="preserve"> nitrogen fixing</t>
  </si>
  <si>
    <t xml:space="preserve"> nitrogen fixation</t>
  </si>
  <si>
    <t xml:space="preserve"> leguminous</t>
  </si>
  <si>
    <t xml:space="preserve"> biological</t>
  </si>
  <si>
    <t xml:space="preserve"> natural control</t>
  </si>
  <si>
    <t xml:space="preserve"> conservation</t>
  </si>
  <si>
    <t xml:space="preserve"> storage</t>
  </si>
  <si>
    <t xml:space="preserve"> retention</t>
  </si>
  <si>
    <t xml:space="preserve"> efficient</t>
  </si>
  <si>
    <t xml:space="preserve"> efficiency</t>
  </si>
  <si>
    <t xml:space="preserve"> renewable</t>
  </si>
  <si>
    <t xml:space="preserve"> generate</t>
  </si>
  <si>
    <t xml:space="preserve"> sustainable</t>
  </si>
  <si>
    <t xml:space="preserve"> farm-saved</t>
  </si>
  <si>
    <t xml:space="preserve"> Organic pesticides</t>
  </si>
  <si>
    <t xml:space="preserve"> Organic</t>
  </si>
  <si>
    <t xml:space="preserve"> Drip irrigation</t>
  </si>
  <si>
    <t xml:space="preserve"> Perennial crops</t>
  </si>
  <si>
    <t xml:space="preserve"> Cuttings</t>
  </si>
  <si>
    <t xml:space="preserve"> Planted forage</t>
  </si>
  <si>
    <t xml:space="preserve"> Biological pesticides</t>
  </si>
  <si>
    <t>diversified diets</t>
  </si>
  <si>
    <t>nutritional diversity</t>
  </si>
  <si>
    <t>local exchange</t>
  </si>
  <si>
    <t>local seed</t>
  </si>
  <si>
    <t>local varieties</t>
  </si>
  <si>
    <t>organic seed</t>
  </si>
  <si>
    <t>purchase seed</t>
  </si>
  <si>
    <t>seed banks</t>
  </si>
  <si>
    <t>landraces</t>
  </si>
  <si>
    <t>local seed systems</t>
  </si>
  <si>
    <t>locally adapted crops</t>
  </si>
  <si>
    <t>native species</t>
  </si>
  <si>
    <t>neglected crops</t>
  </si>
  <si>
    <t>opportunity crops</t>
  </si>
  <si>
    <t>orphan crops</t>
  </si>
  <si>
    <t>participatory breeding</t>
  </si>
  <si>
    <t>seed saving</t>
  </si>
  <si>
    <t xml:space="preserve">species </t>
  </si>
  <si>
    <t>band</t>
  </si>
  <si>
    <t>contour planting</t>
  </si>
  <si>
    <t>cover crop</t>
  </si>
  <si>
    <t>terrace</t>
  </si>
  <si>
    <t>diversified</t>
  </si>
  <si>
    <t>Recycling</t>
  </si>
  <si>
    <t>Grey water</t>
  </si>
  <si>
    <t>renewable energy</t>
  </si>
  <si>
    <t>mulch</t>
  </si>
  <si>
    <t>minimum-till</t>
  </si>
  <si>
    <t xml:space="preserve">health </t>
  </si>
  <si>
    <t>rainwater harvesting</t>
  </si>
  <si>
    <t>solar</t>
  </si>
  <si>
    <t>no till</t>
  </si>
  <si>
    <t>boundary planting</t>
  </si>
  <si>
    <t>crop rotation</t>
  </si>
  <si>
    <t>flower strips</t>
  </si>
  <si>
    <t xml:space="preserve"> intercropping</t>
  </si>
  <si>
    <t>natural pollinators</t>
  </si>
  <si>
    <t>polyculture</t>
  </si>
  <si>
    <t>sequential cropping</t>
  </si>
  <si>
    <t>spatial diversity</t>
  </si>
  <si>
    <t>strip cropping</t>
  </si>
  <si>
    <t>crop residue</t>
  </si>
  <si>
    <t>land use diversity</t>
  </si>
  <si>
    <t>waste water</t>
  </si>
  <si>
    <t xml:space="preserve">worm </t>
  </si>
  <si>
    <t>human</t>
  </si>
  <si>
    <t>reduced use of pesticides</t>
  </si>
  <si>
    <t>empower</t>
  </si>
  <si>
    <t>gender</t>
  </si>
  <si>
    <t xml:space="preserve"> femini</t>
  </si>
  <si>
    <t>women empowerment</t>
  </si>
  <si>
    <t>women</t>
  </si>
  <si>
    <t>woman</t>
  </si>
  <si>
    <t>youth</t>
  </si>
  <si>
    <t xml:space="preserve"> marginalised</t>
  </si>
  <si>
    <t>racial</t>
  </si>
  <si>
    <t>race</t>
  </si>
  <si>
    <t>ethnic</t>
  </si>
  <si>
    <t>caste</t>
  </si>
  <si>
    <t>self-organisation</t>
  </si>
  <si>
    <t>association</t>
  </si>
  <si>
    <t>sovereighnty</t>
  </si>
  <si>
    <t>autonomy</t>
  </si>
  <si>
    <t>social values</t>
  </si>
  <si>
    <t>human values</t>
  </si>
  <si>
    <t>equity</t>
  </si>
  <si>
    <t>inequity</t>
  </si>
  <si>
    <t>racial inequity</t>
  </si>
  <si>
    <t>local markets</t>
  </si>
  <si>
    <t>social innovations</t>
  </si>
  <si>
    <t>well-being</t>
  </si>
  <si>
    <t>digin</t>
  </si>
  <si>
    <t>meaning</t>
  </si>
  <si>
    <t>labour</t>
  </si>
  <si>
    <t>care</t>
  </si>
  <si>
    <t>work</t>
  </si>
  <si>
    <t>livelihood</t>
  </si>
  <si>
    <t>farmer-centered</t>
  </si>
  <si>
    <t>participat</t>
  </si>
  <si>
    <t>participant</t>
  </si>
  <si>
    <t>collaborat</t>
  </si>
  <si>
    <t>learn</t>
  </si>
  <si>
    <t>information sharing</t>
  </si>
  <si>
    <t>knowledge transfer</t>
  </si>
  <si>
    <t>farmer knowledge</t>
  </si>
  <si>
    <t>knowledge exchange</t>
  </si>
  <si>
    <t>knowledge co-creation</t>
  </si>
  <si>
    <t>knowledge co-production</t>
  </si>
  <si>
    <t>community of practice</t>
  </si>
  <si>
    <t>farmer field school</t>
  </si>
  <si>
    <t>field school</t>
  </si>
  <si>
    <t>multi-stakeholder</t>
  </si>
  <si>
    <t>social justice</t>
  </si>
  <si>
    <t>tacit knowledge</t>
  </si>
  <si>
    <t>localised</t>
  </si>
  <si>
    <t>situation-specific</t>
  </si>
  <si>
    <t>contextual</t>
  </si>
  <si>
    <t>access to extension</t>
  </si>
  <si>
    <t>sensitisation</t>
  </si>
  <si>
    <t>formal education</t>
  </si>
  <si>
    <t>soil depth</t>
  </si>
  <si>
    <t>Surface hardness</t>
  </si>
  <si>
    <t>hardpan</t>
  </si>
  <si>
    <t>root depth</t>
  </si>
  <si>
    <t>Aluminium</t>
  </si>
  <si>
    <t>sub-surface hardness</t>
  </si>
  <si>
    <t>AE principles</t>
  </si>
  <si>
    <t>global</t>
  </si>
  <si>
    <t>price </t>
  </si>
  <si>
    <t>Branding </t>
  </si>
  <si>
    <t>Business </t>
  </si>
  <si>
    <t>Certificate of origin </t>
  </si>
  <si>
    <t>Crop income </t>
  </si>
  <si>
    <t>Dialogues </t>
  </si>
  <si>
    <t>Evidence-based </t>
  </si>
  <si>
    <t>Farm income </t>
  </si>
  <si>
    <t>Inclusive policy </t>
  </si>
  <si>
    <t>Income </t>
  </si>
  <si>
    <t>Interface </t>
  </si>
  <si>
    <t>Job </t>
  </si>
  <si>
    <t>Land tenure </t>
  </si>
  <si>
    <t>Local food system </t>
  </si>
  <si>
    <t>Local producer markets </t>
  </si>
  <si>
    <t>Mult-stakeholder </t>
  </si>
  <si>
    <t>Off-farm </t>
  </si>
  <si>
    <t>Origin labelling </t>
  </si>
  <si>
    <t>Payment for ecosystem services </t>
  </si>
  <si>
    <t>Post-harvest </t>
  </si>
  <si>
    <t>Processing </t>
  </si>
  <si>
    <t>Producer-consumer </t>
  </si>
  <si>
    <t>Rights </t>
  </si>
  <si>
    <t>School feeding </t>
  </si>
  <si>
    <t>Science-policy </t>
  </si>
  <si>
    <t>Traditional market </t>
  </si>
  <si>
    <t>Wage </t>
  </si>
  <si>
    <t>Work </t>
  </si>
  <si>
    <t>greywater</t>
  </si>
  <si>
    <t>Conservation </t>
  </si>
  <si>
    <t>Contour planting </t>
  </si>
  <si>
    <t>diversified </t>
  </si>
  <si>
    <t>Local exchange </t>
  </si>
  <si>
    <t>Local seed </t>
  </si>
  <si>
    <t>Local varieties </t>
  </si>
  <si>
    <t>Non-crop plants </t>
  </si>
  <si>
    <t>Organic seed </t>
  </si>
  <si>
    <t>Purchase seed </t>
  </si>
  <si>
    <t>Renewable energy </t>
  </si>
  <si>
    <t>Seed banks </t>
  </si>
  <si>
    <t>Soil quality </t>
  </si>
  <si>
    <t>Terrace </t>
  </si>
  <si>
    <t>Weeds for food </t>
  </si>
  <si>
    <t>Autonomy </t>
  </si>
  <si>
    <t>Bottom-up </t>
  </si>
  <si>
    <t>Community of practice </t>
  </si>
  <si>
    <t>Decision-making </t>
  </si>
  <si>
    <t>Empower </t>
  </si>
  <si>
    <t>Farmer field school </t>
  </si>
  <si>
    <t>Farmer group </t>
  </si>
  <si>
    <t>femini</t>
  </si>
  <si>
    <t>Field school </t>
  </si>
  <si>
    <t>Gender </t>
  </si>
  <si>
    <t>marginalised</t>
  </si>
  <si>
    <t>Multi-stakeholder </t>
  </si>
  <si>
    <t>Participatory </t>
  </si>
  <si>
    <t>Self-organisation </t>
  </si>
  <si>
    <t>Social media group </t>
  </si>
  <si>
    <t>Sovereignty </t>
  </si>
  <si>
    <t>Women empowerment </t>
  </si>
  <si>
    <t>information </t>
  </si>
  <si>
    <t>Biological pesticides</t>
  </si>
  <si>
    <t>Cuttings</t>
  </si>
  <si>
    <t>Drip irrigation</t>
  </si>
  <si>
    <t>Drip irrigation </t>
  </si>
  <si>
    <t>Organic</t>
  </si>
  <si>
    <t>Organic pesticides</t>
  </si>
  <si>
    <t>Organic </t>
  </si>
  <si>
    <t>Perennial crops</t>
  </si>
  <si>
    <t>Planted forage</t>
  </si>
  <si>
    <t>nematode</t>
  </si>
  <si>
    <t>x</t>
  </si>
  <si>
    <t>to check</t>
  </si>
  <si>
    <t>input reduction </t>
  </si>
  <si>
    <t>theory</t>
  </si>
  <si>
    <t>practice</t>
  </si>
  <si>
    <t>analytic</t>
  </si>
  <si>
    <t>access to finance </t>
  </si>
  <si>
    <t>active carbon</t>
  </si>
  <si>
    <t>aggregate stability</t>
  </si>
  <si>
    <t>agroforestry</t>
  </si>
  <si>
    <t>alley</t>
  </si>
  <si>
    <t>aluminium</t>
  </si>
  <si>
    <t>association </t>
  </si>
  <si>
    <t>base saturation</t>
  </si>
  <si>
    <t>biological food web composition</t>
  </si>
  <si>
    <t>biological pest control</t>
  </si>
  <si>
    <t>biological pesticides</t>
  </si>
  <si>
    <t>bottom-up </t>
  </si>
  <si>
    <t>boundary planting </t>
  </si>
  <si>
    <t>branding </t>
  </si>
  <si>
    <t>bulk density</t>
  </si>
  <si>
    <t>business </t>
  </si>
  <si>
    <t>calcium</t>
  </si>
  <si>
    <t>carbon and nitrogen mineralization</t>
  </si>
  <si>
    <t>carbon stock</t>
  </si>
  <si>
    <t>carbon stock </t>
  </si>
  <si>
    <t>cation exchange capacity (cec)</t>
  </si>
  <si>
    <t>cellulose decomposition rate</t>
  </si>
  <si>
    <t>certificate of origin </t>
  </si>
  <si>
    <t>certification </t>
  </si>
  <si>
    <t>charcoal production </t>
  </si>
  <si>
    <t>climate mitigation</t>
  </si>
  <si>
    <t>climate mitigation </t>
  </si>
  <si>
    <t>cold storage </t>
  </si>
  <si>
    <t>community of practice </t>
  </si>
  <si>
    <t>contour planting </t>
  </si>
  <si>
    <t>cooperative </t>
  </si>
  <si>
    <t>copper</t>
  </si>
  <si>
    <t>cover crops </t>
  </si>
  <si>
    <t>credit </t>
  </si>
  <si>
    <t>crop income </t>
  </si>
  <si>
    <t>crop rotation </t>
  </si>
  <si>
    <t>crop-livestock</t>
  </si>
  <si>
    <t>crop-livestock </t>
  </si>
  <si>
    <t>cuttings</t>
  </si>
  <si>
    <t>cuttings </t>
  </si>
  <si>
    <t>dialogues </t>
  </si>
  <si>
    <t>diversified diets </t>
  </si>
  <si>
    <t>drip irrigation</t>
  </si>
  <si>
    <t>drip irrigation </t>
  </si>
  <si>
    <t>earnings </t>
  </si>
  <si>
    <t>earthworms</t>
  </si>
  <si>
    <t>electrical conductivity</t>
  </si>
  <si>
    <t>emissions</t>
  </si>
  <si>
    <t>emissions </t>
  </si>
  <si>
    <t>empower </t>
  </si>
  <si>
    <t>erosion control</t>
  </si>
  <si>
    <t>erosion control </t>
  </si>
  <si>
    <t>erosion rating</t>
  </si>
  <si>
    <t>evidence-based </t>
  </si>
  <si>
    <t>exchangeable acidity</t>
  </si>
  <si>
    <t>farm income </t>
  </si>
  <si>
    <t>farmer field school </t>
  </si>
  <si>
    <t>farmer group </t>
  </si>
  <si>
    <t>farmer organization </t>
  </si>
  <si>
    <t>field infiltration</t>
  </si>
  <si>
    <t>field school </t>
  </si>
  <si>
    <t>fish-duck-rice system</t>
  </si>
  <si>
    <t>fish-duck-rice system </t>
  </si>
  <si>
    <t>flower strips </t>
  </si>
  <si>
    <t>food drying </t>
  </si>
  <si>
    <t>formal education </t>
  </si>
  <si>
    <t>gender </t>
  </si>
  <si>
    <t>green house gas</t>
  </si>
  <si>
    <t>green house gas </t>
  </si>
  <si>
    <t>green manure</t>
  </si>
  <si>
    <t>green manure </t>
  </si>
  <si>
    <t>grey water</t>
  </si>
  <si>
    <t>grey water </t>
  </si>
  <si>
    <t>half-moon</t>
  </si>
  <si>
    <t>half-moon </t>
  </si>
  <si>
    <t>heavy metals</t>
  </si>
  <si>
    <t>hedgerows</t>
  </si>
  <si>
    <t>hedgerows </t>
  </si>
  <si>
    <t>hermetic bags </t>
  </si>
  <si>
    <t>improved storage </t>
  </si>
  <si>
    <t>inclusive policy </t>
  </si>
  <si>
    <t>income </t>
  </si>
  <si>
    <t>infiltration rate</t>
  </si>
  <si>
    <t>insurance </t>
  </si>
  <si>
    <t>integrated crop-livestock</t>
  </si>
  <si>
    <t>integrated crop-livestock </t>
  </si>
  <si>
    <t>integrated pest management</t>
  </si>
  <si>
    <t>integrated pest management </t>
  </si>
  <si>
    <t>integration</t>
  </si>
  <si>
    <t>integration </t>
  </si>
  <si>
    <t>inter-cropping </t>
  </si>
  <si>
    <t>interface </t>
  </si>
  <si>
    <t>iron</t>
  </si>
  <si>
    <t>job </t>
  </si>
  <si>
    <t>knowledge exchange </t>
  </si>
  <si>
    <t>land races </t>
  </si>
  <si>
    <t>land tenure </t>
  </si>
  <si>
    <t>land use diversity </t>
  </si>
  <si>
    <t>loan </t>
  </si>
  <si>
    <t>local exchange </t>
  </si>
  <si>
    <t>local food system </t>
  </si>
  <si>
    <t>local producer markets </t>
  </si>
  <si>
    <t>local seed system </t>
  </si>
  <si>
    <t>local seed </t>
  </si>
  <si>
    <t>local varieties </t>
  </si>
  <si>
    <t>locally adapted crops </t>
  </si>
  <si>
    <t>macro-organism activity</t>
  </si>
  <si>
    <t>magnesium</t>
  </si>
  <si>
    <t>manganese</t>
  </si>
  <si>
    <t>microbial biomass c and n</t>
  </si>
  <si>
    <t>microbial respiration rate</t>
  </si>
  <si>
    <t>micro-organism activity</t>
  </si>
  <si>
    <t>minimum till </t>
  </si>
  <si>
    <t>multi-stakeholder </t>
  </si>
  <si>
    <t>mult-stakeholder </t>
  </si>
  <si>
    <t>native species </t>
  </si>
  <si>
    <t>natural enemies</t>
  </si>
  <si>
    <t>natural enemies </t>
  </si>
  <si>
    <t>natural habitat</t>
  </si>
  <si>
    <t>natural habitat </t>
  </si>
  <si>
    <t>natural pollinators </t>
  </si>
  <si>
    <t>neglected crops  </t>
  </si>
  <si>
    <t>nitrate nitrogen</t>
  </si>
  <si>
    <t>non-crop plants</t>
  </si>
  <si>
    <t>non-crop plants </t>
  </si>
  <si>
    <t>non-farm </t>
  </si>
  <si>
    <t>no-till </t>
  </si>
  <si>
    <t>nutritional diversity </t>
  </si>
  <si>
    <t>off-farm </t>
  </si>
  <si>
    <t>opportunity crops </t>
  </si>
  <si>
    <t>organic certification </t>
  </si>
  <si>
    <t>organic matter content</t>
  </si>
  <si>
    <t>organic pesticides</t>
  </si>
  <si>
    <t>organic pesticides </t>
  </si>
  <si>
    <t>organic seed </t>
  </si>
  <si>
    <t>origin labelling </t>
  </si>
  <si>
    <t>orphan crops </t>
  </si>
  <si>
    <t>packaging </t>
  </si>
  <si>
    <t>participatory breeding </t>
  </si>
  <si>
    <t>particulate organic matter</t>
  </si>
  <si>
    <t>pasteurization </t>
  </si>
  <si>
    <t>pastures</t>
  </si>
  <si>
    <t>pastures </t>
  </si>
  <si>
    <t>payment for ecosystem services </t>
  </si>
  <si>
    <t>penetration resistance</t>
  </si>
  <si>
    <t>perennial crops</t>
  </si>
  <si>
    <t>perennial crops </t>
  </si>
  <si>
    <t>phosphorus concentration</t>
  </si>
  <si>
    <t>planted forage</t>
  </si>
  <si>
    <t>planted forage </t>
  </si>
  <si>
    <t>polyculture </t>
  </si>
  <si>
    <t>post-harvest </t>
  </si>
  <si>
    <t>potassium</t>
  </si>
  <si>
    <t>potentially mineralizable nitrogen</t>
  </si>
  <si>
    <t>processing </t>
  </si>
  <si>
    <t>producer-consumer </t>
  </si>
  <si>
    <t>purchase seed </t>
  </si>
  <si>
    <t>push-pull</t>
  </si>
  <si>
    <t>push-pull </t>
  </si>
  <si>
    <t>rainwater harvesting </t>
  </si>
  <si>
    <t>reactive carbon</t>
  </si>
  <si>
    <t>reforestation</t>
  </si>
  <si>
    <t>reforestation </t>
  </si>
  <si>
    <t>regenerative</t>
  </si>
  <si>
    <t>regenerative </t>
  </si>
  <si>
    <t>regulations </t>
  </si>
  <si>
    <t>renewable energy </t>
  </si>
  <si>
    <t>residual porosity</t>
  </si>
  <si>
    <t>restoration</t>
  </si>
  <si>
    <t>restoration </t>
  </si>
  <si>
    <t>root pathogen pressure</t>
  </si>
  <si>
    <t>rotational grazing</t>
  </si>
  <si>
    <t>rotational grazing </t>
  </si>
  <si>
    <t>salary </t>
  </si>
  <si>
    <t>salinity</t>
  </si>
  <si>
    <t>saturated hydraulic conductivity</t>
  </si>
  <si>
    <t>school feeding </t>
  </si>
  <si>
    <t>science-policy </t>
  </si>
  <si>
    <t>seed banks </t>
  </si>
  <si>
    <t>seed sav </t>
  </si>
  <si>
    <t>self-organisation </t>
  </si>
  <si>
    <t>sell animal products </t>
  </si>
  <si>
    <t>sell charcoal </t>
  </si>
  <si>
    <t>sell eggs </t>
  </si>
  <si>
    <t>sell firewood </t>
  </si>
  <si>
    <t>sell fruit </t>
  </si>
  <si>
    <t>sell honey </t>
  </si>
  <si>
    <t>sell meat </t>
  </si>
  <si>
    <t>sell milk </t>
  </si>
  <si>
    <t>sell timber </t>
  </si>
  <si>
    <t>sensitization </t>
  </si>
  <si>
    <t>sequential cropping </t>
  </si>
  <si>
    <t>shade trees</t>
  </si>
  <si>
    <t>shade trees </t>
  </si>
  <si>
    <t>silvopasture</t>
  </si>
  <si>
    <t>silvopasture </t>
  </si>
  <si>
    <t>social media group </t>
  </si>
  <si>
    <t>sodicity</t>
  </si>
  <si>
    <t>soil crusting and compaction</t>
  </si>
  <si>
    <t>soil enzymes</t>
  </si>
  <si>
    <t>soil ph</t>
  </si>
  <si>
    <t>soil proteins</t>
  </si>
  <si>
    <t>soil quality </t>
  </si>
  <si>
    <t>soil respiration rate</t>
  </si>
  <si>
    <t>soil structure and macroporosity</t>
  </si>
  <si>
    <t>solar </t>
  </si>
  <si>
    <t>sovereignty </t>
  </si>
  <si>
    <t>spatial diversity </t>
  </si>
  <si>
    <t>strip cropping </t>
  </si>
  <si>
    <t>subsidies </t>
  </si>
  <si>
    <t>surface hardness</t>
  </si>
  <si>
    <t>terrace </t>
  </si>
  <si>
    <t>terracing</t>
  </si>
  <si>
    <t>terracing </t>
  </si>
  <si>
    <t>texture</t>
  </si>
  <si>
    <t>total organic carbon</t>
  </si>
  <si>
    <t>traditional market </t>
  </si>
  <si>
    <t>value addition </t>
  </si>
  <si>
    <t>wage </t>
  </si>
  <si>
    <t>water holding capacity</t>
  </si>
  <si>
    <t>weed seed bank</t>
  </si>
  <si>
    <t>weeds for food</t>
  </si>
  <si>
    <t>weeds for forage</t>
  </si>
  <si>
    <t>wet and dry aggregate size</t>
  </si>
  <si>
    <t>yoghurt making </t>
  </si>
  <si>
    <t>zai pits</t>
  </si>
  <si>
    <t>zinc</t>
  </si>
  <si>
    <t>Economic</t>
  </si>
  <si>
    <t>Environmental</t>
  </si>
  <si>
    <t>Social</t>
  </si>
  <si>
    <t>Technical</t>
  </si>
  <si>
    <t>natural</t>
  </si>
  <si>
    <t>access to finance</t>
  </si>
  <si>
    <t>bottom-up</t>
  </si>
  <si>
    <t>branding</t>
  </si>
  <si>
    <t>business</t>
  </si>
  <si>
    <t>certificate of origin</t>
  </si>
  <si>
    <t>certification</t>
  </si>
  <si>
    <t>charcoal production</t>
  </si>
  <si>
    <t>cold storage</t>
  </si>
  <si>
    <t>cooperative</t>
  </si>
  <si>
    <t>credit</t>
  </si>
  <si>
    <t>crop income</t>
  </si>
  <si>
    <t>dialogues</t>
  </si>
  <si>
    <t>earnings</t>
  </si>
  <si>
    <t>evidence-based</t>
  </si>
  <si>
    <t>farm income</t>
  </si>
  <si>
    <t>farmer organization</t>
  </si>
  <si>
    <t>food drying</t>
  </si>
  <si>
    <t>hermetic bags</t>
  </si>
  <si>
    <t>improved storage</t>
  </si>
  <si>
    <t>inclusive policy</t>
  </si>
  <si>
    <t>income</t>
  </si>
  <si>
    <t>insurance</t>
  </si>
  <si>
    <t>inter-cropping</t>
  </si>
  <si>
    <t>interface</t>
  </si>
  <si>
    <t>job</t>
  </si>
  <si>
    <t>land races</t>
  </si>
  <si>
    <t>land tenure</t>
  </si>
  <si>
    <t>loan</t>
  </si>
  <si>
    <t>local food system</t>
  </si>
  <si>
    <t>local producer markets</t>
  </si>
  <si>
    <t>local seed system</t>
  </si>
  <si>
    <t>minimum till</t>
  </si>
  <si>
    <t>mult-stakeholder</t>
  </si>
  <si>
    <t>neglected crops </t>
  </si>
  <si>
    <t>non-farm</t>
  </si>
  <si>
    <t>no-till</t>
  </si>
  <si>
    <t>off-farm</t>
  </si>
  <si>
    <t>organic certification</t>
  </si>
  <si>
    <t>organizations</t>
  </si>
  <si>
    <t>origin labelling</t>
  </si>
  <si>
    <t>packaging</t>
  </si>
  <si>
    <t>pasteurization</t>
  </si>
  <si>
    <t>payment for ecosystem services</t>
  </si>
  <si>
    <t>post-harvest</t>
  </si>
  <si>
    <t>price</t>
  </si>
  <si>
    <t>processing</t>
  </si>
  <si>
    <t>producer-consumer</t>
  </si>
  <si>
    <t>regulations</t>
  </si>
  <si>
    <t>salary</t>
  </si>
  <si>
    <t>school feeding</t>
  </si>
  <si>
    <t>science-policy</t>
  </si>
  <si>
    <t>seed sav</t>
  </si>
  <si>
    <t>sell animal products</t>
  </si>
  <si>
    <t>sell charcoal</t>
  </si>
  <si>
    <t>sell eggs</t>
  </si>
  <si>
    <t>sell firewood</t>
  </si>
  <si>
    <t>sell fruit</t>
  </si>
  <si>
    <t>sell honey</t>
  </si>
  <si>
    <t>sell meat</t>
  </si>
  <si>
    <t>sell milk</t>
  </si>
  <si>
    <t>sell timber</t>
  </si>
  <si>
    <t>sensitization</t>
  </si>
  <si>
    <t>social media group</t>
  </si>
  <si>
    <t>soil quality</t>
  </si>
  <si>
    <t>sovereignty</t>
  </si>
  <si>
    <t>subsidies</t>
  </si>
  <si>
    <t>traditional market</t>
  </si>
  <si>
    <t>value addition</t>
  </si>
  <si>
    <t>value chain</t>
  </si>
  <si>
    <t>wage</t>
  </si>
  <si>
    <t>yoghurt making</t>
  </si>
  <si>
    <t>pesticide exposure</t>
  </si>
  <si>
    <t>income from milk</t>
  </si>
  <si>
    <t>alley crop</t>
  </si>
  <si>
    <t>Improve resource efficiency</t>
  </si>
  <si>
    <t>Strengthen resilience</t>
  </si>
  <si>
    <t>Secure social equity</t>
  </si>
  <si>
    <t>AE pathways</t>
  </si>
  <si>
    <t>Livelihood domains</t>
  </si>
  <si>
    <t>AE indicator</t>
  </si>
  <si>
    <t>fc</t>
  </si>
  <si>
    <t>pathway</t>
  </si>
  <si>
    <t>indicator1</t>
  </si>
  <si>
    <t>indicator2</t>
  </si>
  <si>
    <t>indicator3</t>
  </si>
  <si>
    <t>indicator4</t>
  </si>
  <si>
    <t>indicator5</t>
  </si>
  <si>
    <t>indicator6</t>
  </si>
  <si>
    <t>indicator7</t>
  </si>
  <si>
    <t>indicator8</t>
  </si>
  <si>
    <t>indicator9</t>
  </si>
  <si>
    <t>indicator10</t>
  </si>
  <si>
    <t>frequenc</t>
  </si>
  <si>
    <t>to what extent do the existing frameworks adreesss the principles defined by agro-ecology</t>
  </si>
  <si>
    <t>are they fit to adress issues of soil health</t>
  </si>
  <si>
    <t>ftf</t>
  </si>
  <si>
    <t>Te</t>
  </si>
  <si>
    <t>conceptual</t>
  </si>
  <si>
    <t>herd</t>
  </si>
  <si>
    <t>milk</t>
  </si>
  <si>
    <t>egg</t>
  </si>
  <si>
    <t>meat</t>
  </si>
  <si>
    <t>birth rate</t>
  </si>
  <si>
    <t>death rate</t>
  </si>
  <si>
    <t>vaccination</t>
  </si>
  <si>
    <t>improved breed</t>
  </si>
  <si>
    <t>local breed</t>
  </si>
  <si>
    <t>one health</t>
  </si>
  <si>
    <t>zoonotic</t>
  </si>
  <si>
    <t>grazing</t>
  </si>
  <si>
    <t>grazing system</t>
  </si>
  <si>
    <t>zero-grazing</t>
  </si>
  <si>
    <t>free-range</t>
  </si>
  <si>
    <t>animal hous</t>
  </si>
  <si>
    <t>veterinar</t>
  </si>
  <si>
    <t>stocking density</t>
  </si>
  <si>
    <t>biosecurity</t>
  </si>
  <si>
    <t>mortality rate</t>
  </si>
  <si>
    <t>disease incedence</t>
  </si>
  <si>
    <t>antibiotic</t>
  </si>
  <si>
    <t>body weight</t>
  </si>
  <si>
    <t>parasite</t>
  </si>
  <si>
    <t>morbidity</t>
  </si>
  <si>
    <t>breeds</t>
  </si>
  <si>
    <t>deworming</t>
  </si>
  <si>
    <t>anti-nutrition</t>
  </si>
  <si>
    <t>pasture</t>
  </si>
  <si>
    <t>secondary metabolite</t>
  </si>
  <si>
    <t>curative</t>
  </si>
  <si>
    <t>early disease detection</t>
  </si>
  <si>
    <t>crossbred</t>
  </si>
  <si>
    <t>cross breed</t>
  </si>
  <si>
    <t>certificat</t>
  </si>
  <si>
    <t>bylaws</t>
  </si>
  <si>
    <t>management plan</t>
  </si>
  <si>
    <t>co-design</t>
  </si>
  <si>
    <t>origin</t>
  </si>
  <si>
    <t>legislation</t>
  </si>
  <si>
    <t>rules</t>
  </si>
  <si>
    <t>contract</t>
  </si>
  <si>
    <t>collective</t>
  </si>
  <si>
    <t>on-farm trials</t>
  </si>
  <si>
    <t>citizen science</t>
  </si>
  <si>
    <t>exchange visits</t>
  </si>
  <si>
    <t>partnership</t>
  </si>
  <si>
    <t>local expert</t>
  </si>
  <si>
    <t>ecotypes</t>
  </si>
  <si>
    <t>provinance</t>
  </si>
  <si>
    <t>wild</t>
  </si>
  <si>
    <t>genetic dversity</t>
  </si>
  <si>
    <t>multistrata</t>
  </si>
  <si>
    <t>ecological corridor</t>
  </si>
  <si>
    <t>local variet</t>
  </si>
  <si>
    <t>locally adapt</t>
  </si>
  <si>
    <t>fodder</t>
  </si>
  <si>
    <t>forage</t>
  </si>
  <si>
    <t>shelter</t>
  </si>
  <si>
    <t>shade</t>
  </si>
  <si>
    <t>feed</t>
  </si>
  <si>
    <t>adaptation</t>
  </si>
  <si>
    <t>coping</t>
  </si>
  <si>
    <t>concentrate</t>
  </si>
  <si>
    <t>mixed feeds</t>
  </si>
  <si>
    <t>hay</t>
  </si>
  <si>
    <t>silage</t>
  </si>
  <si>
    <t>by-product</t>
  </si>
  <si>
    <t>feedstuff</t>
  </si>
  <si>
    <t>oilseed cake</t>
  </si>
  <si>
    <t>supplements</t>
  </si>
  <si>
    <t>blended</t>
  </si>
  <si>
    <t>pellets</t>
  </si>
  <si>
    <t>bone meal</t>
  </si>
  <si>
    <t>straw</t>
  </si>
  <si>
    <t>organization</t>
  </si>
  <si>
    <t>organisation</t>
  </si>
  <si>
    <t>animal</t>
  </si>
  <si>
    <t>livestock</t>
  </si>
  <si>
    <t>community</t>
  </si>
  <si>
    <t>stakeholder</t>
  </si>
  <si>
    <t>actors</t>
  </si>
  <si>
    <t>involvement</t>
  </si>
  <si>
    <t>engage</t>
  </si>
  <si>
    <t>shared decision-making</t>
  </si>
  <si>
    <t>training</t>
  </si>
  <si>
    <t>co-develop</t>
  </si>
  <si>
    <t>local knowledge</t>
  </si>
  <si>
    <t>farmer union</t>
  </si>
  <si>
    <t>field day</t>
  </si>
  <si>
    <t>workshop</t>
  </si>
  <si>
    <t>knowledge sharing</t>
  </si>
  <si>
    <t>adopt</t>
  </si>
  <si>
    <t>crop density</t>
  </si>
  <si>
    <t>vegetation strip</t>
  </si>
  <si>
    <t>natural vegetation</t>
  </si>
  <si>
    <t>remnant</t>
  </si>
  <si>
    <t>mosaic</t>
  </si>
  <si>
    <t>natural plant</t>
  </si>
  <si>
    <t>monoculture</t>
  </si>
  <si>
    <t>mixed crop</t>
  </si>
  <si>
    <t>mixed farm</t>
  </si>
  <si>
    <t>residue</t>
  </si>
  <si>
    <t>pestcide</t>
  </si>
  <si>
    <t>weed</t>
  </si>
  <si>
    <t>biological control</t>
  </si>
  <si>
    <t>traditional variet</t>
  </si>
  <si>
    <t>variet</t>
  </si>
  <si>
    <t>tolerant</t>
  </si>
  <si>
    <t>adapted</t>
  </si>
  <si>
    <t>compost</t>
  </si>
  <si>
    <t>forest litter</t>
  </si>
  <si>
    <t>hand weeding</t>
  </si>
  <si>
    <t>native</t>
  </si>
  <si>
    <t>recycl</t>
  </si>
  <si>
    <t>social innovation</t>
  </si>
  <si>
    <t>social value</t>
  </si>
  <si>
    <t>reduced use of pesticide</t>
  </si>
  <si>
    <t>local market</t>
  </si>
  <si>
    <t>indigenous crop</t>
  </si>
  <si>
    <t>human value</t>
  </si>
  <si>
    <t>animal health worker</t>
  </si>
  <si>
    <t>cultural method</t>
  </si>
  <si>
    <t>homestead</t>
  </si>
  <si>
    <t xml:space="preserve">SEMWISE: A national soil health scoring framework for agricultural systems </t>
  </si>
  <si>
    <t>sayer-LA</t>
  </si>
  <si>
    <t>Govind-DUS</t>
  </si>
  <si>
    <t>DUS(Soil)—A Framework for Developing a Minimum Data Set of Soil Health Indicators and Management Guidelines for Farmers</t>
  </si>
  <si>
    <t>Stocktaking for Agricultural Soil Quality and Ecosystem Services Indicators and their Reference Values (SIREN)</t>
  </si>
  <si>
    <t>Gwimire-SHAM4WLE</t>
  </si>
  <si>
    <t>Soil Health Assessment and Management Framework for Water-Limited Environments: Examples from the Great Plains of the USA</t>
  </si>
  <si>
    <t>IFPRI-GR</t>
  </si>
  <si>
    <t>The Impact of the Green Revolution and Prospects for the Future</t>
  </si>
  <si>
    <t>ILM-Tool-Guide</t>
  </si>
  <si>
    <t>THE NEW SCIENCE OF SUSTAINABLE FOOD SYSTEMS</t>
  </si>
  <si>
    <t>Agroforestry for sustainable landscape management</t>
  </si>
  <si>
    <t>Agroecological principles and elements and their implications for transitioning to sustainable food systems. A review</t>
  </si>
  <si>
    <t>Ecosystems and Human Well-being. A framework for assessment</t>
  </si>
  <si>
    <t>Year</t>
  </si>
  <si>
    <t>Instirutions</t>
  </si>
  <si>
    <t>IPNI</t>
  </si>
  <si>
    <t>USDA</t>
  </si>
  <si>
    <t>IFPRI &amp; UNU-WIDER</t>
  </si>
  <si>
    <t>Min Agric Canada &amp; Min Environ France</t>
  </si>
  <si>
    <t>AU &amp; NEPAD</t>
  </si>
  <si>
    <t>UNEP</t>
  </si>
  <si>
    <t>SAI Platform</t>
  </si>
  <si>
    <t>IFPRI</t>
  </si>
  <si>
    <t>African Population and Health Research Center</t>
  </si>
  <si>
    <t>FAO</t>
  </si>
  <si>
    <t>IDS</t>
  </si>
  <si>
    <t>FAO &amp; INRAE</t>
  </si>
  <si>
    <t>The 10 Elements of Agroecology: enabling transitions towards sustainable agriculture and food systems through visual narratives</t>
  </si>
  <si>
    <t>The 4 returns framework in practice: a guidebook for holistic landscape restoration</t>
  </si>
  <si>
    <t>National ecosystem assessments to support implementation of the convention on biological diversity</t>
  </si>
  <si>
    <t>UC-Davis &amp; USDA</t>
  </si>
  <si>
    <t>Comprehensive Assessment of Soil Health - The Cornell Framework</t>
  </si>
  <si>
    <t>Cornell University</t>
  </si>
  <si>
    <t>Fabis Consulting Ltd</t>
  </si>
  <si>
    <t>NEPAD</t>
  </si>
  <si>
    <t>CIAT</t>
  </si>
  <si>
    <t>EU</t>
  </si>
  <si>
    <t>iPES FOOD</t>
  </si>
  <si>
    <t>UF, MSU, IITA, CIMMYT, CIAT, KSU, ILRI</t>
  </si>
  <si>
    <t>University of Minnesota</t>
  </si>
  <si>
    <t>University of New England</t>
  </si>
  <si>
    <t>Posthumus_FSDST</t>
  </si>
  <si>
    <t>The Food Systems Decision-Support Toolbox</t>
  </si>
  <si>
    <t>Wageningen University</t>
  </si>
  <si>
    <t>University of Kasel</t>
  </si>
  <si>
    <t>SRUC</t>
  </si>
  <si>
    <t>NIAB, Cambridge</t>
  </si>
  <si>
    <t>International Fertilizer Industry Association (IFA)</t>
  </si>
  <si>
    <t>EJP SOIL</t>
  </si>
  <si>
    <t>James Cook University</t>
  </si>
  <si>
    <t>AGRF</t>
  </si>
  <si>
    <t>USA, University of Washington</t>
  </si>
  <si>
    <t>USA, Wisconsin, APS</t>
  </si>
  <si>
    <t>UNCCD</t>
  </si>
  <si>
    <t>Integrated landscape management</t>
  </si>
  <si>
    <t>Europe, Wageningen University</t>
  </si>
  <si>
    <t>CGIAR &amp; CIRAD</t>
  </si>
  <si>
    <t>govind-DUS</t>
  </si>
  <si>
    <t>CIAT &amp; ICAR</t>
  </si>
  <si>
    <t>USA, New Mexico State University</t>
  </si>
  <si>
    <t>Europe, IUCN</t>
  </si>
  <si>
    <t>European Environmental Agency</t>
  </si>
  <si>
    <t>USA, Alabama, IFDC</t>
  </si>
  <si>
    <t>USA, EcoAgriculture Partners</t>
  </si>
  <si>
    <t>Integrated Landscape Management- Tool Guide</t>
  </si>
  <si>
    <t>Integrated Landscape Management- A Practical Guide</t>
  </si>
  <si>
    <t>USA, Virginia Tech</t>
  </si>
  <si>
    <t>ILM_Tool_Guide</t>
  </si>
  <si>
    <t>USA, Cornell University</t>
  </si>
  <si>
    <t>USA, WRI</t>
  </si>
  <si>
    <t>USA, USDA</t>
  </si>
  <si>
    <t>Australia, Consultant</t>
  </si>
  <si>
    <t>China, China Agricultural University</t>
  </si>
  <si>
    <t>The Economics of Ecosystems and Biodiversity: Chapter 9- Investing in ecological infrastructure</t>
  </si>
  <si>
    <t>FAO-TGSN</t>
  </si>
  <si>
    <t>Europe, Groningen University</t>
  </si>
  <si>
    <t>Europe, ISARA, FAO, ICRAF</t>
  </si>
  <si>
    <t>Global</t>
  </si>
  <si>
    <t>no</t>
  </si>
  <si>
    <t>abbrev</t>
  </si>
  <si>
    <t>short title</t>
  </si>
  <si>
    <t>Analytical</t>
  </si>
  <si>
    <t>Theoretical/principles</t>
  </si>
  <si>
    <t>Practical approaches</t>
  </si>
  <si>
    <t>cluster                            Biological Chemical Management Physical</t>
  </si>
  <si>
    <r>
      <t xml:space="preserve">  </t>
    </r>
    <r>
      <rPr>
        <i/>
        <sz val="8"/>
        <color rgb="FF949494"/>
        <rFont val="Lucida Console"/>
        <family val="3"/>
      </rPr>
      <t>&lt;chr&gt;</t>
    </r>
    <r>
      <rPr>
        <sz val="8"/>
        <color rgb="FF000000"/>
        <rFont val="Lucida Console"/>
        <family val="3"/>
      </rPr>
      <t xml:space="preserve">                                   </t>
    </r>
    <r>
      <rPr>
        <i/>
        <sz val="8"/>
        <color rgb="FF949494"/>
        <rFont val="Lucida Console"/>
        <family val="3"/>
      </rPr>
      <t>&lt;int&gt;</t>
    </r>
    <r>
      <rPr>
        <sz val="8"/>
        <color rgb="FF000000"/>
        <rFont val="Lucida Console"/>
        <family val="3"/>
      </rPr>
      <t xml:space="preserve">    </t>
    </r>
    <r>
      <rPr>
        <i/>
        <sz val="8"/>
        <color rgb="FF949494"/>
        <rFont val="Lucida Console"/>
        <family val="3"/>
      </rPr>
      <t>&lt;int&gt;</t>
    </r>
    <r>
      <rPr>
        <sz val="8"/>
        <color rgb="FF000000"/>
        <rFont val="Lucida Console"/>
        <family val="3"/>
      </rPr>
      <t xml:space="preserve">      </t>
    </r>
    <r>
      <rPr>
        <i/>
        <sz val="8"/>
        <color rgb="FF949494"/>
        <rFont val="Lucida Console"/>
        <family val="3"/>
      </rPr>
      <t>&lt;int&gt;</t>
    </r>
    <r>
      <rPr>
        <sz val="8"/>
        <color rgb="FF000000"/>
        <rFont val="Lucida Console"/>
        <family val="3"/>
      </rPr>
      <t xml:space="preserve">    </t>
    </r>
    <r>
      <rPr>
        <i/>
        <sz val="8"/>
        <color rgb="FF949494"/>
        <rFont val="Lucida Console"/>
        <family val="3"/>
      </rPr>
      <t>&lt;int&gt;</t>
    </r>
  </si>
  <si>
    <r>
      <t>1</t>
    </r>
    <r>
      <rPr>
        <sz val="8"/>
        <color rgb="FF000000"/>
        <rFont val="Lucida Console"/>
        <family val="3"/>
      </rPr>
      <t xml:space="preserve"> Agroecology &amp; ecosystem                   172      235        167      184</t>
    </r>
  </si>
  <si>
    <r>
      <t>2</t>
    </r>
    <r>
      <rPr>
        <sz val="8"/>
        <color rgb="FF000000"/>
        <rFont val="Lucida Console"/>
        <family val="3"/>
      </rPr>
      <t xml:space="preserve"> Efficiency &amp; soil management              158      193        159      174</t>
    </r>
  </si>
  <si>
    <r>
      <t>3</t>
    </r>
    <r>
      <rPr>
        <sz val="8"/>
        <color rgb="FF000000"/>
        <rFont val="Lucida Console"/>
        <family val="3"/>
      </rPr>
      <t xml:space="preserve"> Integrated landscape &amp; livelihoods        236      255        170      251</t>
    </r>
  </si>
  <si>
    <r>
      <t>4</t>
    </r>
    <r>
      <rPr>
        <sz val="8"/>
        <color rgb="FF000000"/>
        <rFont val="Lucida Console"/>
        <family val="3"/>
      </rPr>
      <t xml:space="preserve"> Policy/outcome &amp; standards                 33       34         15       31</t>
    </r>
  </si>
  <si>
    <r>
      <t>5</t>
    </r>
    <r>
      <rPr>
        <sz val="8"/>
        <color rgb="FF000000"/>
        <rFont val="Lucida Console"/>
        <family val="3"/>
      </rPr>
      <t xml:space="preserve"> Soil-health assessment tools              239      280        205      275</t>
    </r>
  </si>
  <si>
    <t>Johnston and Bruulsema (2014)</t>
  </si>
  <si>
    <t>Author</t>
  </si>
  <si>
    <t>Abbreviated</t>
  </si>
  <si>
    <t>cornell-cash</t>
  </si>
  <si>
    <t>nestle-raf</t>
  </si>
  <si>
    <t>eea-smeitsha</t>
  </si>
  <si>
    <t>fao-agroecology</t>
  </si>
  <si>
    <t>ejp-siren</t>
  </si>
  <si>
    <t>ftf_gsiaf</t>
  </si>
  <si>
    <t>ifdc-fsha</t>
  </si>
  <si>
    <t>eu-ss2030</t>
  </si>
  <si>
    <t>fao-vgssm</t>
  </si>
  <si>
    <t>teeb</t>
  </si>
  <si>
    <t>deel-semwise</t>
  </si>
  <si>
    <t>covind-dus</t>
  </si>
  <si>
    <t>ifa-g4rnutstewf</t>
  </si>
  <si>
    <t>ros-oshafssm</t>
  </si>
  <si>
    <t>andrews-smaf</t>
  </si>
  <si>
    <t>fao-passm</t>
  </si>
  <si>
    <t>ghimire-sham4wle</t>
  </si>
  <si>
    <t>nunes-shape</t>
  </si>
  <si>
    <t>lehmann-fpsh</t>
  </si>
  <si>
    <t>steve-aesshf</t>
  </si>
  <si>
    <t>stockdale-cfmsh</t>
  </si>
  <si>
    <t>usda-cfshag</t>
  </si>
  <si>
    <t>arshad-sqi</t>
  </si>
  <si>
    <t>jian-dgsha</t>
  </si>
  <si>
    <t>devine-rscfish</t>
  </si>
  <si>
    <t>montg-shohph</t>
  </si>
  <si>
    <t>ciat-isfm</t>
  </si>
  <si>
    <t>fao-esfsi</t>
  </si>
  <si>
    <t>fao-tape</t>
  </si>
  <si>
    <t>tittonel-sysageco</t>
  </si>
  <si>
    <t>caadp</t>
  </si>
  <si>
    <t>mea</t>
  </si>
  <si>
    <t>wri-ehwb</t>
  </si>
  <si>
    <t>common_4returns</t>
  </si>
  <si>
    <t>fao-almsfa</t>
  </si>
  <si>
    <t>unccd-ldn</t>
  </si>
  <si>
    <t>ski-lstoolkit</t>
  </si>
  <si>
    <t>sayer_la</t>
  </si>
  <si>
    <t>fao-gspaf</t>
  </si>
  <si>
    <t>ifpri-gr</t>
  </si>
  <si>
    <t>cices</t>
  </si>
  <si>
    <t>4rns-inue</t>
  </si>
  <si>
    <t>ldn_cf_journal</t>
  </si>
  <si>
    <t>birner-pepsa</t>
  </si>
  <si>
    <t>la4aa</t>
  </si>
  <si>
    <t>si4af</t>
  </si>
  <si>
    <t>mesmis</t>
  </si>
  <si>
    <t>wezel-tape</t>
  </si>
  <si>
    <t>ids-srlf</t>
  </si>
  <si>
    <t>fsat</t>
  </si>
  <si>
    <t>posthumus-fsdst</t>
  </si>
  <si>
    <t>unccd-ilm</t>
  </si>
  <si>
    <t>mn-shaf</t>
  </si>
  <si>
    <t>ilm-practical</t>
  </si>
  <si>
    <t>ipes-food</t>
  </si>
  <si>
    <t>cbd-nea</t>
  </si>
  <si>
    <t>ploeg-peae</t>
  </si>
  <si>
    <t>ilm-tool-guide</t>
  </si>
  <si>
    <t>ejp-shttas</t>
  </si>
  <si>
    <t>caadpresult</t>
  </si>
  <si>
    <t>sai-raag</t>
  </si>
  <si>
    <t>cbd</t>
  </si>
  <si>
    <t>Moebius-Clune et al. 2017</t>
  </si>
  <si>
    <t>EEA 2023</t>
  </si>
  <si>
    <t>Faber et al. 2022</t>
  </si>
  <si>
    <t>Vanlauwe et al. 2023</t>
  </si>
  <si>
    <t>FAO-ITPS 2017</t>
  </si>
  <si>
    <t>Deel et al. 2024</t>
  </si>
  <si>
    <t>IFA 2009</t>
  </si>
  <si>
    <t>Andrews et al. 2004</t>
  </si>
  <si>
    <t>Ghimire et al. 2023</t>
  </si>
  <si>
    <t>Lehmann et al. 2020</t>
  </si>
  <si>
    <t>Stockdale et al. 2019</t>
  </si>
  <si>
    <t>Arshad and Martin 2002</t>
  </si>
  <si>
    <t>Devine et al. 2021</t>
  </si>
  <si>
    <t>Sanginga and Woomer 2009</t>
  </si>
  <si>
    <t>Holmgren 2017</t>
  </si>
  <si>
    <t>Tittonell 2023</t>
  </si>
  <si>
    <t>Millennium Ecosystem Assessment 2005</t>
  </si>
  <si>
    <t>Commonland et al 2024</t>
  </si>
  <si>
    <t>SKI 2021</t>
  </si>
  <si>
    <t>FAO-OEWG 2022</t>
  </si>
  <si>
    <t>Haines-Young and Potschin 2018</t>
  </si>
  <si>
    <t>Cowie et al. 2018</t>
  </si>
  <si>
    <t>Plieninger et al. 2020</t>
  </si>
  <si>
    <t>López-Ridaura et al. 2002</t>
  </si>
  <si>
    <t>Scoones 1998</t>
  </si>
  <si>
    <t>Posthumus et al. 2021</t>
  </si>
  <si>
    <t>Triomphe et al. 2022</t>
  </si>
  <si>
    <t>1000 Landscapes for 1 Billion People 2022a</t>
  </si>
  <si>
    <t>UNEP-WCMC 2021</t>
  </si>
  <si>
    <t>1000 Landscapes for 1 Billion People 2022b</t>
  </si>
  <si>
    <t>Matson et al. 2024a</t>
  </si>
  <si>
    <t>SAI Platform 2023</t>
  </si>
  <si>
    <t>Nestle 2024</t>
  </si>
  <si>
    <t>FAO 2018</t>
  </si>
  <si>
    <t>Musumba et al. 2017</t>
  </si>
  <si>
    <t>European Commission 2021</t>
  </si>
  <si>
    <t>Neßhöver et al. 2012</t>
  </si>
  <si>
    <t>Govindakrishnan et al. 2021</t>
  </si>
  <si>
    <t>Ros et al. 2022</t>
  </si>
  <si>
    <t>FAO-ITPS 2020</t>
  </si>
  <si>
    <t>Nunes et al. 2021</t>
  </si>
  <si>
    <t>Apfelbaum et al. 2019</t>
  </si>
  <si>
    <t>USDA-NRCS 2021</t>
  </si>
  <si>
    <t>Jian et al. 2020</t>
  </si>
  <si>
    <t>Montgomery et al. 2024</t>
  </si>
  <si>
    <t>FAO and INRAE 2020</t>
  </si>
  <si>
    <t>FAO 2019</t>
  </si>
  <si>
    <t>NEPAD 2003</t>
  </si>
  <si>
    <t>Alcamo et al. 2003</t>
  </si>
  <si>
    <t>FAO 2017a</t>
  </si>
  <si>
    <t>Sayer et al. 2013</t>
  </si>
  <si>
    <t>Pinstrup‐Andersen and Hazell 1985</t>
  </si>
  <si>
    <t>Johnston and Bruulsema 2014</t>
  </si>
  <si>
    <t>Birner and Resnick 2010</t>
  </si>
  <si>
    <t>AGRF 2020</t>
  </si>
  <si>
    <t>Wezel et al. 2020</t>
  </si>
  <si>
    <t>FS-TIP 2021</t>
  </si>
  <si>
    <t>Thaxton et al. 2017</t>
  </si>
  <si>
    <t>Rhees et al. 2024</t>
  </si>
  <si>
    <t>iPES 2015</t>
  </si>
  <si>
    <t>van der Ploeg 2021</t>
  </si>
  <si>
    <t>NEPAD 2015</t>
  </si>
  <si>
    <t>UNEP 2011</t>
  </si>
  <si>
    <t>ulm</t>
  </si>
  <si>
    <t>gsiaf</t>
  </si>
  <si>
    <t>la</t>
  </si>
  <si>
    <t>split1</t>
  </si>
  <si>
    <t>split2</t>
  </si>
  <si>
    <t>author_abbreviation</t>
  </si>
  <si>
    <t>common-4returns</t>
  </si>
  <si>
    <t>gwimire-sham4wle</t>
  </si>
  <si>
    <t>ilm_tool_guide</t>
  </si>
  <si>
    <t>sayer-la</t>
  </si>
  <si>
    <t>govind-dus</t>
  </si>
  <si>
    <t>Theory</t>
  </si>
  <si>
    <t>Practical</t>
  </si>
  <si>
    <t>1985-2009</t>
  </si>
  <si>
    <t>2010-2016</t>
  </si>
  <si>
    <t>2017-2020</t>
  </si>
  <si>
    <t>2021-2024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</si>
</sst>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font>
      <sz val="11"/>
      <color theme="1"/>
      <name val="Aptos Narrow"/>
      <family val="2"/>
      <scheme val="minor"/>
    </font>
    <font>
      <sz val="11"/>
      <color rgb="FF242424"/>
      <name val="Aptos Narrow"/>
      <family val="2"/>
    </font>
    <font>
      <b/>
      <sz val="11"/>
      <color theme="1"/>
      <name val="Aptos Narrow"/>
      <family val="2"/>
      <scheme val="minor"/>
    </font>
    <font>
      <sz val="11"/>
      <color theme="1"/>
      <name val="Montserrat"/>
    </font>
    <font>
      <sz val="11"/>
      <color rgb="FFFF0000"/>
      <name val="Aptos Narrow"/>
      <family val="2"/>
      <scheme val="minor"/>
    </font>
    <font>
      <sz val="11"/>
      <color rgb="FF000000"/>
      <name val="Aptos Narrow"/>
      <family val="2"/>
    </font>
    <font>
      <sz val="11"/>
      <name val="Aptos Narrow"/>
      <family val="2"/>
      <scheme val="minor"/>
    </font>
    <font>
      <sz val="11"/>
      <color rgb="FF000000"/>
      <name val="Calibri"/>
      <family val="2"/>
    </font>
    <font>
      <sz val="12"/>
      <color rgb="FF000000"/>
      <name val="Public Sans Web"/>
      <charset val="1"/>
    </font>
    <font>
      <sz val="14"/>
      <color rgb="FF000000"/>
      <name val="Montserrat"/>
      <family val="2"/>
      <charset val="1"/>
    </font>
    <font>
      <sz val="11"/>
      <color theme="1"/>
      <name val="Arial"/>
      <family val="2"/>
    </font>
    <font>
      <sz val="11"/>
      <color rgb="FF000000"/>
      <name val="Arial"/>
      <family val="2"/>
    </font>
    <font>
      <b/>
      <sz val="11"/>
      <color theme="1"/>
      <name val="Arial"/>
      <family val="2"/>
    </font>
    <font>
      <b/>
      <sz val="20"/>
      <color theme="1"/>
      <name val="Aptos Narrow"/>
      <family val="2"/>
      <scheme val="minor"/>
    </font>
    <font>
      <b/>
      <sz val="20"/>
      <color rgb="FF242424"/>
      <name val="Aptos Narrow"/>
      <family val="2"/>
    </font>
    <font>
      <b/>
      <sz val="20"/>
      <color theme="1"/>
      <name val="Calibri"/>
      <family val="2"/>
    </font>
    <font>
      <sz val="9"/>
      <color indexed="81"/>
      <name val="Tahoma"/>
      <family val="2"/>
    </font>
    <font>
      <sz val="14"/>
      <color theme="1"/>
      <name val="Aptos Narrow"/>
      <family val="2"/>
      <scheme val="minor"/>
    </font>
    <font>
      <sz val="11"/>
      <color rgb="FF000000"/>
      <name val="Aptos Narrow"/>
      <family val="2"/>
      <scheme val="minor"/>
    </font>
    <font>
      <u/>
      <sz val="11"/>
      <color theme="10"/>
      <name val="Aptos Narrow"/>
      <family val="2"/>
      <scheme val="minor"/>
    </font>
    <font>
      <sz val="11"/>
      <color rgb="FF242424"/>
      <name val="Aptos Narrow"/>
      <charset val="1"/>
    </font>
    <font>
      <b/>
      <sz val="10"/>
      <color theme="1"/>
      <name val="Aptos Narrow"/>
      <family val="2"/>
      <scheme val="minor"/>
    </font>
    <font>
      <sz val="10"/>
      <color theme="1"/>
      <name val="Aptos Narrow"/>
      <family val="2"/>
      <scheme val="minor"/>
    </font>
    <font>
      <sz val="10"/>
      <color rgb="FF000000"/>
      <name val="Aptos Narrow"/>
      <family val="2"/>
      <scheme val="minor"/>
    </font>
    <font>
      <sz val="10"/>
      <name val="Aptos Narrow"/>
      <family val="2"/>
      <scheme val="minor"/>
    </font>
    <font>
      <sz val="10"/>
      <color rgb="FF242424"/>
      <name val="Aptos Narrow"/>
      <family val="2"/>
      <scheme val="minor"/>
    </font>
    <font>
      <sz val="8"/>
      <name val="Aptos Narrow"/>
      <family val="2"/>
      <scheme val="minor"/>
    </font>
    <font>
      <sz val="12"/>
      <color theme="1"/>
      <name val="Aptos"/>
      <family val="2"/>
    </font>
    <font>
      <sz val="20"/>
      <color theme="1"/>
      <name val="Aptos Narrow"/>
      <family val="2"/>
      <scheme val="minor"/>
    </font>
    <font>
      <sz val="12"/>
      <color rgb="FF242424"/>
      <name val="Aptos"/>
      <family val="2"/>
    </font>
    <font>
      <sz val="12"/>
      <color theme="1"/>
      <name val="Times New Roman"/>
      <family val="1"/>
    </font>
    <font>
      <b/>
      <sz val="12"/>
      <color theme="1"/>
      <name val="Aptos"/>
      <family val="2"/>
    </font>
    <font>
      <sz val="8"/>
      <color rgb="FF000000"/>
      <name val="Lucida Console"/>
      <family val="3"/>
    </font>
    <font>
      <i/>
      <sz val="8"/>
      <color rgb="FF949494"/>
      <name val="Lucida Console"/>
      <family val="3"/>
    </font>
    <font>
      <sz val="8"/>
      <color rgb="FFBCBCBC"/>
      <name val="Lucida Console"/>
      <family val="3"/>
    </font>
    <font>
      <sz val="20"/>
      <color theme="1"/>
      <name val="Aptos"/>
      <family val="2"/>
    </font>
    <font>
      <b/>
      <sz val="8"/>
      <color rgb="FF000000"/>
      <name val="Arial"/>
      <family val="2"/>
    </font>
    <font>
      <sz val="8"/>
      <color rgb="FF000000"/>
      <name val="Arial"/>
      <family val="2"/>
    </font>
    <font>
      <sz val="8"/>
      <color rgb="FF0A0A0A"/>
      <name val="Courier New"/>
      <family val="3"/>
    </font>
  </fonts>
  <fills count="15">
    <fill>
      <patternFill patternType="none"/>
    </fill>
    <fill>
      <patternFill patternType="gray125"/>
    </fill>
    <fill>
      <patternFill patternType="solid">
        <fgColor rgb="FFFFFF00"/>
        <bgColor indexed="64"/>
      </patternFill>
    </fill>
    <fill>
      <patternFill patternType="solid">
        <fgColor theme="9" tint="0.79998168889431442"/>
        <bgColor indexed="64"/>
      </patternFill>
    </fill>
    <fill>
      <patternFill patternType="solid">
        <fgColor theme="9"/>
        <bgColor indexed="64"/>
      </patternFill>
    </fill>
    <fill>
      <patternFill patternType="solid">
        <fgColor rgb="FFFFFFFF"/>
        <bgColor indexed="64"/>
      </patternFill>
    </fill>
    <fill>
      <patternFill patternType="solid">
        <fgColor theme="3" tint="0.89999084444715716"/>
        <bgColor indexed="64"/>
      </patternFill>
    </fill>
    <fill>
      <patternFill patternType="solid">
        <fgColor theme="4" tint="0.39997558519241921"/>
        <bgColor indexed="64"/>
      </patternFill>
    </fill>
    <fill>
      <patternFill patternType="solid">
        <fgColor theme="6" tint="0.79998168889431442"/>
        <bgColor indexed="64"/>
      </patternFill>
    </fill>
    <fill>
      <patternFill patternType="solid">
        <fgColor theme="7" tint="0.39997558519241921"/>
        <bgColor indexed="64"/>
      </patternFill>
    </fill>
    <fill>
      <patternFill patternType="solid">
        <fgColor theme="6" tint="-0.249977111117893"/>
        <bgColor indexed="64"/>
      </patternFill>
    </fill>
    <fill>
      <patternFill patternType="solid">
        <fgColor theme="9" tint="0.39997558519241921"/>
        <bgColor indexed="64"/>
      </patternFill>
    </fill>
    <fill>
      <patternFill patternType="solid">
        <fgColor theme="3" tint="0.59999389629810485"/>
        <bgColor indexed="64"/>
      </patternFill>
    </fill>
    <fill>
      <patternFill patternType="solid">
        <fgColor theme="4"/>
        <bgColor indexed="64"/>
      </patternFill>
    </fill>
    <fill>
      <patternFill patternType="solid">
        <fgColor theme="5"/>
        <bgColor indexed="64"/>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style="thin">
        <color rgb="FF000000"/>
      </left>
      <right style="thin">
        <color rgb="FF000000"/>
      </right>
      <top/>
      <bottom/>
      <diagonal/>
    </border>
    <border>
      <left/>
      <right/>
      <top style="medium">
        <color indexed="64"/>
      </top>
      <bottom style="medium">
        <color indexed="64"/>
      </bottom>
      <diagonal/>
    </border>
    <border>
      <left/>
      <right/>
      <top/>
      <bottom style="medium">
        <color indexed="64"/>
      </bottom>
      <diagonal/>
    </border>
  </borders>
  <cellStyleXfs count="2">
    <xf numFmtId="0" fontId="0" fillId="0" borderId="0"/>
    <xf numFmtId="0" fontId="19" fillId="0" borderId="0" applyNumberFormat="0" applyFill="0" applyBorder="0" applyAlignment="0" applyProtection="0"/>
  </cellStyleXfs>
  <cellXfs count="122">
    <xf numFmtId="0" fontId="0" fillId="0" borderId="0" xfId="0"/>
    <xf numFmtId="0" fontId="3" fillId="0" borderId="0" xfId="0" applyFont="1"/>
    <xf numFmtId="0" fontId="3" fillId="0" borderId="0" xfId="0" applyFont="1" applyAlignment="1">
      <alignment vertical="center"/>
    </xf>
    <xf numFmtId="0" fontId="2" fillId="0" borderId="0" xfId="0" applyFont="1"/>
    <xf numFmtId="0" fontId="3" fillId="0" borderId="0" xfId="0" applyFont="1" applyAlignment="1">
      <alignment horizontal="left" vertical="center"/>
    </xf>
    <xf numFmtId="0" fontId="0" fillId="3" borderId="1" xfId="0" applyFill="1" applyBorder="1"/>
    <xf numFmtId="0" fontId="2" fillId="3" borderId="2" xfId="0" applyFont="1" applyFill="1" applyBorder="1"/>
    <xf numFmtId="0" fontId="0" fillId="3" borderId="2" xfId="0" applyFill="1" applyBorder="1"/>
    <xf numFmtId="0" fontId="3" fillId="2" borderId="0" xfId="0" applyFont="1" applyFill="1" applyAlignment="1">
      <alignment vertical="center"/>
    </xf>
    <xf numFmtId="0" fontId="5" fillId="0" borderId="0" xfId="0" applyFont="1"/>
    <xf numFmtId="0" fontId="6" fillId="0" borderId="0" xfId="0" applyFont="1"/>
    <xf numFmtId="0" fontId="1" fillId="0" borderId="0" xfId="0" applyFont="1"/>
    <xf numFmtId="0" fontId="7" fillId="0" borderId="0" xfId="0" applyFont="1"/>
    <xf numFmtId="0" fontId="0" fillId="2" borderId="0" xfId="0" applyFill="1"/>
    <xf numFmtId="0" fontId="1" fillId="4" borderId="0" xfId="0" applyFont="1" applyFill="1"/>
    <xf numFmtId="0" fontId="3" fillId="4" borderId="0" xfId="0" applyFont="1" applyFill="1"/>
    <xf numFmtId="0" fontId="0" fillId="4" borderId="0" xfId="0" applyFill="1"/>
    <xf numFmtId="0" fontId="3" fillId="4" borderId="0" xfId="0" applyFont="1" applyFill="1" applyAlignment="1">
      <alignment vertical="center"/>
    </xf>
    <xf numFmtId="0" fontId="8" fillId="0" borderId="0" xfId="0" applyFont="1"/>
    <xf numFmtId="0" fontId="9" fillId="5" borderId="0" xfId="0" applyFont="1" applyFill="1" applyAlignment="1">
      <alignment wrapText="1"/>
    </xf>
    <xf numFmtId="0" fontId="10" fillId="0" borderId="0" xfId="0" applyFont="1"/>
    <xf numFmtId="0" fontId="10" fillId="0" borderId="0" xfId="0" applyFont="1" applyAlignment="1">
      <alignment vertical="center"/>
    </xf>
    <xf numFmtId="0" fontId="10" fillId="0" borderId="0" xfId="0" applyFont="1" applyAlignment="1">
      <alignment horizontal="left" vertical="center" indent="1"/>
    </xf>
    <xf numFmtId="0" fontId="11" fillId="0" borderId="0" xfId="0" applyFont="1"/>
    <xf numFmtId="0" fontId="12" fillId="0" borderId="0" xfId="0" applyFont="1"/>
    <xf numFmtId="0" fontId="13" fillId="0" borderId="0" xfId="0" applyFont="1" applyAlignment="1">
      <alignment horizontal="left" vertical="top"/>
    </xf>
    <xf numFmtId="0" fontId="13" fillId="0" borderId="0" xfId="0" applyFont="1"/>
    <xf numFmtId="0" fontId="14" fillId="0" borderId="0" xfId="0" applyFont="1" applyAlignment="1">
      <alignment horizontal="left" vertical="top"/>
    </xf>
    <xf numFmtId="0" fontId="15" fillId="0" borderId="0" xfId="0" applyFont="1" applyAlignment="1">
      <alignment horizontal="left" vertical="top"/>
    </xf>
    <xf numFmtId="0" fontId="2" fillId="0" borderId="6" xfId="0" applyFont="1" applyBorder="1"/>
    <xf numFmtId="0" fontId="0" fillId="0" borderId="6" xfId="0" applyBorder="1"/>
    <xf numFmtId="0" fontId="3" fillId="0" borderId="6" xfId="0" applyFont="1" applyBorder="1"/>
    <xf numFmtId="0" fontId="3" fillId="0" borderId="6" xfId="0" applyFont="1" applyBorder="1" applyAlignment="1">
      <alignment horizontal="left" vertical="center"/>
    </xf>
    <xf numFmtId="0" fontId="3" fillId="0" borderId="6" xfId="0" applyFont="1" applyBorder="1" applyAlignment="1">
      <alignment vertical="center"/>
    </xf>
    <xf numFmtId="0" fontId="4" fillId="0" borderId="6" xfId="0" applyFont="1" applyBorder="1"/>
    <xf numFmtId="0" fontId="0" fillId="0" borderId="0" xfId="0" applyAlignment="1">
      <alignment wrapText="1"/>
    </xf>
    <xf numFmtId="0" fontId="0" fillId="0" borderId="6" xfId="0" applyBorder="1" applyAlignment="1">
      <alignment vertical="top" wrapText="1"/>
    </xf>
    <xf numFmtId="0" fontId="4" fillId="0" borderId="6" xfId="0" applyFont="1" applyBorder="1" applyAlignment="1">
      <alignment vertical="top" wrapText="1"/>
    </xf>
    <xf numFmtId="0" fontId="0" fillId="6" borderId="6" xfId="0" applyFill="1" applyBorder="1" applyAlignment="1">
      <alignment vertical="top" wrapText="1"/>
    </xf>
    <xf numFmtId="0" fontId="6" fillId="8" borderId="6" xfId="0" applyFont="1" applyFill="1" applyBorder="1" applyAlignment="1">
      <alignment vertical="top" wrapText="1"/>
    </xf>
    <xf numFmtId="0" fontId="2" fillId="0" borderId="6" xfId="0" applyFont="1" applyBorder="1" applyAlignment="1">
      <alignment horizontal="center"/>
    </xf>
    <xf numFmtId="0" fontId="2" fillId="0" borderId="0" xfId="0" applyFont="1" applyAlignment="1">
      <alignment horizontal="center"/>
    </xf>
    <xf numFmtId="0" fontId="0" fillId="9" borderId="6" xfId="0" applyFill="1" applyBorder="1"/>
    <xf numFmtId="0" fontId="0" fillId="9" borderId="0" xfId="0" applyFill="1"/>
    <xf numFmtId="0" fontId="0" fillId="10" borderId="6" xfId="0" applyFill="1" applyBorder="1"/>
    <xf numFmtId="0" fontId="0" fillId="10" borderId="0" xfId="0" applyFill="1"/>
    <xf numFmtId="0" fontId="0" fillId="2" borderId="6" xfId="0" applyFill="1" applyBorder="1"/>
    <xf numFmtId="0" fontId="0" fillId="11" borderId="6" xfId="0" applyFill="1" applyBorder="1"/>
    <xf numFmtId="0" fontId="0" fillId="11" borderId="0" xfId="0" applyFill="1"/>
    <xf numFmtId="0" fontId="0" fillId="12" borderId="6" xfId="0" applyFill="1" applyBorder="1"/>
    <xf numFmtId="0" fontId="0" fillId="12" borderId="0" xfId="0" applyFill="1"/>
    <xf numFmtId="0" fontId="17" fillId="13" borderId="0" xfId="0" applyFont="1" applyFill="1"/>
    <xf numFmtId="0" fontId="17" fillId="13" borderId="0" xfId="0" applyFont="1" applyFill="1" applyAlignment="1">
      <alignment wrapText="1"/>
    </xf>
    <xf numFmtId="0" fontId="0" fillId="0" borderId="10" xfId="0" applyBorder="1"/>
    <xf numFmtId="0" fontId="0" fillId="0" borderId="10" xfId="0" applyBorder="1" applyAlignment="1">
      <alignment wrapText="1"/>
    </xf>
    <xf numFmtId="0" fontId="18" fillId="0" borderId="0" xfId="0" applyFont="1"/>
    <xf numFmtId="0" fontId="18" fillId="0" borderId="11" xfId="0" applyFont="1" applyBorder="1"/>
    <xf numFmtId="0" fontId="0" fillId="0" borderId="11" xfId="0" applyBorder="1" applyAlignment="1">
      <alignment wrapText="1"/>
    </xf>
    <xf numFmtId="0" fontId="0" fillId="0" borderId="11" xfId="0" applyBorder="1"/>
    <xf numFmtId="0" fontId="19" fillId="0" borderId="0" xfId="1" applyBorder="1"/>
    <xf numFmtId="0" fontId="20" fillId="0" borderId="0" xfId="0" applyFont="1"/>
    <xf numFmtId="0" fontId="21" fillId="3" borderId="2" xfId="0" applyFont="1" applyFill="1" applyBorder="1"/>
    <xf numFmtId="0" fontId="22" fillId="3" borderId="1" xfId="0" applyFont="1" applyFill="1" applyBorder="1"/>
    <xf numFmtId="0" fontId="22" fillId="3" borderId="12" xfId="0" applyFont="1" applyFill="1" applyBorder="1"/>
    <xf numFmtId="0" fontId="22" fillId="0" borderId="0" xfId="0" applyFont="1"/>
    <xf numFmtId="0" fontId="23" fillId="0" borderId="0" xfId="0" applyFont="1"/>
    <xf numFmtId="0" fontId="22" fillId="0" borderId="0" xfId="0" applyFont="1" applyAlignment="1">
      <alignment wrapText="1"/>
    </xf>
    <xf numFmtId="0" fontId="22" fillId="2" borderId="0" xfId="0" applyFont="1" applyFill="1"/>
    <xf numFmtId="0" fontId="22" fillId="0" borderId="10" xfId="0" applyFont="1" applyBorder="1"/>
    <xf numFmtId="0" fontId="22" fillId="0" borderId="11" xfId="0" applyFont="1" applyBorder="1"/>
    <xf numFmtId="0" fontId="23" fillId="0" borderId="10" xfId="0" applyFont="1" applyBorder="1"/>
    <xf numFmtId="0" fontId="22" fillId="4" borderId="0" xfId="0" applyFont="1" applyFill="1"/>
    <xf numFmtId="0" fontId="24" fillId="0" borderId="0" xfId="0" applyFont="1"/>
    <xf numFmtId="0" fontId="22" fillId="0" borderId="0" xfId="0" applyFont="1" applyAlignment="1">
      <alignment vertical="center"/>
    </xf>
    <xf numFmtId="0" fontId="25" fillId="0" borderId="0" xfId="0" applyFont="1"/>
    <xf numFmtId="0" fontId="25" fillId="4" borderId="0" xfId="0" applyFont="1" applyFill="1"/>
    <xf numFmtId="0" fontId="22" fillId="0" borderId="0" xfId="0" applyFont="1" applyAlignment="1">
      <alignment horizontal="left" vertical="center"/>
    </xf>
    <xf numFmtId="0" fontId="22" fillId="4" borderId="0" xfId="0" applyFont="1" applyFill="1" applyAlignment="1">
      <alignment vertical="center"/>
    </xf>
    <xf numFmtId="0" fontId="27" fillId="0" borderId="0" xfId="0" applyFont="1"/>
    <xf numFmtId="0" fontId="27" fillId="0" borderId="0" xfId="0" applyFont="1" applyAlignment="1">
      <alignment horizontal="left" vertical="top"/>
    </xf>
    <xf numFmtId="0" fontId="27" fillId="3" borderId="0" xfId="0" applyFont="1" applyFill="1" applyAlignment="1">
      <alignment horizontal="left" vertical="top" wrapText="1"/>
    </xf>
    <xf numFmtId="0" fontId="27" fillId="0" borderId="0" xfId="0" applyFont="1" applyAlignment="1">
      <alignment vertical="top"/>
    </xf>
    <xf numFmtId="0" fontId="28" fillId="0" borderId="0" xfId="0" applyFont="1"/>
    <xf numFmtId="0" fontId="27" fillId="0" borderId="0" xfId="0" applyFont="1" applyAlignment="1">
      <alignment horizontal="left"/>
    </xf>
    <xf numFmtId="0" fontId="29" fillId="0" borderId="0" xfId="0" applyFont="1" applyAlignment="1">
      <alignment horizontal="left" vertical="top"/>
    </xf>
    <xf numFmtId="0" fontId="28" fillId="3" borderId="0" xfId="0" applyFont="1" applyFill="1" applyAlignment="1">
      <alignment horizontal="left" vertical="top" wrapText="1"/>
    </xf>
    <xf numFmtId="0" fontId="28" fillId="0" borderId="0" xfId="0" applyFont="1" applyAlignment="1">
      <alignment vertical="top"/>
    </xf>
    <xf numFmtId="0" fontId="28" fillId="0" borderId="0" xfId="0" applyFont="1" applyAlignment="1">
      <alignment horizontal="left"/>
    </xf>
    <xf numFmtId="0" fontId="27" fillId="0" borderId="0" xfId="0" applyFont="1" applyAlignment="1">
      <alignment wrapText="1"/>
    </xf>
    <xf numFmtId="0" fontId="27" fillId="0" borderId="0" xfId="0" applyFont="1" applyAlignment="1">
      <alignment horizontal="right" vertical="top"/>
    </xf>
    <xf numFmtId="0" fontId="27" fillId="0" borderId="0" xfId="0" applyFont="1" applyAlignment="1">
      <alignment horizontal="right"/>
    </xf>
    <xf numFmtId="0" fontId="27" fillId="0" borderId="0" xfId="0" applyFont="1" applyAlignment="1">
      <alignment horizontal="right" wrapText="1"/>
    </xf>
    <xf numFmtId="0" fontId="0" fillId="0" borderId="0" xfId="0" applyAlignment="1">
      <alignment horizontal="right"/>
    </xf>
    <xf numFmtId="0" fontId="30" fillId="0" borderId="0" xfId="0" applyFont="1" applyAlignment="1">
      <alignment horizontal="justify" vertical="center"/>
    </xf>
    <xf numFmtId="0" fontId="0" fillId="0" borderId="0" xfId="0" applyAlignment="1">
      <alignment horizontal="left"/>
    </xf>
    <xf numFmtId="0" fontId="27" fillId="0" borderId="0" xfId="0" applyFont="1" applyAlignment="1">
      <alignment horizontal="left" wrapText="1"/>
    </xf>
    <xf numFmtId="0" fontId="27" fillId="14" borderId="0" xfId="0" applyFont="1" applyFill="1"/>
    <xf numFmtId="0" fontId="27" fillId="14" borderId="0" xfId="0" applyFont="1" applyFill="1" applyAlignment="1">
      <alignment horizontal="left" vertical="top"/>
    </xf>
    <xf numFmtId="0" fontId="27" fillId="14" borderId="0" xfId="0" applyFont="1" applyFill="1" applyAlignment="1">
      <alignment horizontal="right"/>
    </xf>
    <xf numFmtId="0" fontId="27" fillId="14" borderId="0" xfId="0" applyFont="1" applyFill="1" applyAlignment="1">
      <alignment horizontal="left"/>
    </xf>
    <xf numFmtId="0" fontId="27" fillId="14" borderId="0" xfId="0" applyFont="1" applyFill="1" applyAlignment="1">
      <alignment vertical="top"/>
    </xf>
    <xf numFmtId="0" fontId="28" fillId="14" borderId="0" xfId="0" applyFont="1" applyFill="1"/>
    <xf numFmtId="0" fontId="31" fillId="0" borderId="0" xfId="0" applyFont="1" applyAlignment="1">
      <alignment horizontal="right"/>
    </xf>
    <xf numFmtId="0" fontId="31" fillId="0" borderId="0" xfId="0" applyFont="1" applyAlignment="1">
      <alignment horizontal="right" vertical="top"/>
    </xf>
    <xf numFmtId="0" fontId="32" fillId="0" borderId="0" xfId="0" applyFont="1" applyAlignment="1">
      <alignment vertical="center"/>
    </xf>
    <xf numFmtId="0" fontId="34" fillId="0" borderId="0" xfId="0" applyFont="1" applyAlignment="1">
      <alignment vertical="center"/>
    </xf>
    <xf numFmtId="0" fontId="34" fillId="5" borderId="0" xfId="0" applyFont="1" applyFill="1" applyAlignment="1">
      <alignment vertical="center"/>
    </xf>
    <xf numFmtId="0" fontId="35" fillId="0" borderId="0" xfId="0" applyFont="1"/>
    <xf numFmtId="0" fontId="35" fillId="14" borderId="0" xfId="0" applyFont="1" applyFill="1"/>
    <xf numFmtId="0" fontId="36" fillId="0" borderId="13" xfId="0" applyFont="1" applyBorder="1" applyAlignment="1">
      <alignment horizontal="justify" vertical="center" wrapText="1"/>
    </xf>
    <xf numFmtId="0" fontId="37" fillId="0" borderId="0" xfId="0" applyFont="1" applyAlignment="1">
      <alignment horizontal="left" vertical="center" wrapText="1"/>
    </xf>
    <xf numFmtId="0" fontId="37" fillId="0" borderId="14" xfId="0" applyFont="1" applyBorder="1" applyAlignment="1">
      <alignment horizontal="left" vertical="center" wrapText="1"/>
    </xf>
    <xf numFmtId="0" fontId="38" fillId="0" borderId="0" xfId="0" applyFont="1"/>
    <xf numFmtId="0" fontId="0" fillId="3" borderId="3" xfId="0" applyFill="1" applyBorder="1" applyAlignment="1">
      <alignment horizontal="center"/>
    </xf>
    <xf numFmtId="0" fontId="0" fillId="3" borderId="4" xfId="0" applyFill="1" applyBorder="1" applyAlignment="1">
      <alignment horizontal="center"/>
    </xf>
    <xf numFmtId="0" fontId="0" fillId="3" borderId="5" xfId="0" applyFill="1" applyBorder="1" applyAlignment="1">
      <alignment horizontal="center"/>
    </xf>
    <xf numFmtId="0" fontId="2" fillId="7" borderId="7" xfId="0" applyFont="1" applyFill="1" applyBorder="1" applyAlignment="1">
      <alignment horizontal="center" vertical="top" wrapText="1"/>
    </xf>
    <xf numFmtId="0" fontId="2" fillId="7" borderId="8" xfId="0" applyFont="1" applyFill="1" applyBorder="1" applyAlignment="1">
      <alignment horizontal="center" vertical="top" wrapText="1"/>
    </xf>
    <xf numFmtId="0" fontId="2" fillId="7" borderId="9" xfId="0" applyFont="1" applyFill="1" applyBorder="1" applyAlignment="1">
      <alignment horizontal="center" vertical="top" wrapText="1"/>
    </xf>
    <xf numFmtId="0" fontId="37" fillId="0" borderId="0" xfId="0" applyFont="1" applyBorder="1" applyAlignment="1">
      <alignment horizontal="left" vertical="center" wrapText="1"/>
    </xf>
    <xf numFmtId="0" fontId="27" fillId="0" borderId="0" xfId="0" applyFont="1" applyAlignment="1">
      <alignment horizontal="center"/>
    </xf>
    <xf numFmtId="0" fontId="27" fillId="0" borderId="0" xfId="0" applyFont="1" applyAlignment="1">
      <alignment horizontal="center"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3627727575322036E-2"/>
          <c:y val="2.1944995782773011E-2"/>
          <c:w val="0.96637227242467794"/>
          <c:h val="0.63788004199294723"/>
        </c:manualLayout>
      </c:layout>
      <c:barChart>
        <c:barDir val="col"/>
        <c:grouping val="clustered"/>
        <c:varyColors val="0"/>
        <c:ser>
          <c:idx val="3"/>
          <c:order val="0"/>
          <c:tx>
            <c:strRef>
              <c:f>frameworks_categorised!$L$1</c:f>
              <c:strCache>
                <c:ptCount val="1"/>
                <c:pt idx="0">
                  <c:v>count</c:v>
                </c:pt>
              </c:strCache>
            </c:strRef>
          </c:tx>
          <c:spPr>
            <a:solidFill>
              <a:schemeClr val="accent4"/>
            </a:solidFill>
            <a:ln>
              <a:noFill/>
            </a:ln>
            <a:effectLst/>
          </c:spPr>
          <c:invertIfNegative val="0"/>
          <c:cat>
            <c:strRef>
              <c:f>frameworks_categorised!$H$2:$H$84</c:f>
              <c:strCache>
                <c:ptCount val="83"/>
                <c:pt idx="0">
                  <c:v>IFPRI-GR</c:v>
                </c:pt>
                <c:pt idx="1">
                  <c:v>Permaculture</c:v>
                </c:pt>
                <c:pt idx="2">
                  <c:v>Arshad-SQI</c:v>
                </c:pt>
                <c:pt idx="3">
                  <c:v>TEEB</c:v>
                </c:pt>
                <c:pt idx="4">
                  <c:v>Birner-PEPSA</c:v>
                </c:pt>
                <c:pt idx="5">
                  <c:v>Sayer_LA</c:v>
                </c:pt>
                <c:pt idx="6">
                  <c:v>4RNS-INUE</c:v>
                </c:pt>
                <c:pt idx="7">
                  <c:v>CAADPresult</c:v>
                </c:pt>
                <c:pt idx="8">
                  <c:v>Cornell-CASH</c:v>
                </c:pt>
                <c:pt idx="9">
                  <c:v>FtF_GSIAF</c:v>
                </c:pt>
                <c:pt idx="10">
                  <c:v>Steve-AESSHF</c:v>
                </c:pt>
                <c:pt idx="11">
                  <c:v>FAO-TAPE</c:v>
                </c:pt>
                <c:pt idx="12">
                  <c:v>FAO-agroecology</c:v>
                </c:pt>
                <c:pt idx="13">
                  <c:v>LA4AA</c:v>
                </c:pt>
                <c:pt idx="14">
                  <c:v>Lehmann-FPSH</c:v>
                </c:pt>
                <c:pt idx="15">
                  <c:v>FAO-ESFS</c:v>
                </c:pt>
                <c:pt idx="16">
                  <c:v>Devine-RSCFISH</c:v>
                </c:pt>
                <c:pt idx="17">
                  <c:v>FAO-PASSM</c:v>
                </c:pt>
                <c:pt idx="18">
                  <c:v>Ploeg-PEAE</c:v>
                </c:pt>
                <c:pt idx="19">
                  <c:v>Nunes-SHAPE</c:v>
                </c:pt>
                <c:pt idx="20">
                  <c:v>SKI-Lstoolkit</c:v>
                </c:pt>
                <c:pt idx="21">
                  <c:v>cgiar-ll</c:v>
                </c:pt>
                <c:pt idx="22">
                  <c:v>FAO-GSPAF</c:v>
                </c:pt>
                <c:pt idx="23">
                  <c:v>ILM-Practical</c:v>
                </c:pt>
                <c:pt idx="24">
                  <c:v>ILM_Tool_Guide</c:v>
                </c:pt>
                <c:pt idx="25">
                  <c:v>Ros-OSHAFSSM</c:v>
                </c:pt>
                <c:pt idx="26">
                  <c:v>SAI-RAAG</c:v>
                </c:pt>
                <c:pt idx="27">
                  <c:v>FAO-TGSN</c:v>
                </c:pt>
                <c:pt idx="28">
                  <c:v>SIAF</c:v>
                </c:pt>
                <c:pt idx="29">
                  <c:v>Montg-SHOHPH</c:v>
                </c:pt>
                <c:pt idx="30">
                  <c:v>Deel-SEMWISE</c:v>
                </c:pt>
                <c:pt idx="31">
                  <c:v>EJP-SHTTAS</c:v>
                </c:pt>
                <c:pt idx="32">
                  <c:v>CBD</c:v>
                </c:pt>
                <c:pt idx="33">
                  <c:v>IDS-SRLF</c:v>
                </c:pt>
                <c:pt idx="34">
                  <c:v>CAADP</c:v>
                </c:pt>
                <c:pt idx="35">
                  <c:v>Andrews-SMAF</c:v>
                </c:pt>
                <c:pt idx="36">
                  <c:v>WRI-EHWB</c:v>
                </c:pt>
                <c:pt idx="37">
                  <c:v>IFA-G4RNutStewF</c:v>
                </c:pt>
                <c:pt idx="38">
                  <c:v>IPES-FOOD</c:v>
                </c:pt>
                <c:pt idx="39">
                  <c:v>FAO-ALMSFA</c:v>
                </c:pt>
                <c:pt idx="40">
                  <c:v>FAO-VGSSM</c:v>
                </c:pt>
                <c:pt idx="41">
                  <c:v>UNCCD-ILM</c:v>
                </c:pt>
                <c:pt idx="42">
                  <c:v>LDN_CF_journal</c:v>
                </c:pt>
                <c:pt idx="43">
                  <c:v>UNCCD-LDN</c:v>
                </c:pt>
                <c:pt idx="44">
                  <c:v>SI4AF</c:v>
                </c:pt>
                <c:pt idx="45">
                  <c:v>USDA-CFSHAG</c:v>
                </c:pt>
                <c:pt idx="46">
                  <c:v>Wezel-TAPE</c:v>
                </c:pt>
                <c:pt idx="47">
                  <c:v>Jian-DGSHA</c:v>
                </c:pt>
                <c:pt idx="48">
                  <c:v>EU-SS2030</c:v>
                </c:pt>
                <c:pt idx="49">
                  <c:v>CBD-NEA</c:v>
                </c:pt>
                <c:pt idx="50">
                  <c:v>FSAT</c:v>
                </c:pt>
                <c:pt idx="51">
                  <c:v>Posthumus_FSDST</c:v>
                </c:pt>
                <c:pt idx="52">
                  <c:v>govind-DUS</c:v>
                </c:pt>
                <c:pt idx="53">
                  <c:v>IFDC-FSHA</c:v>
                </c:pt>
                <c:pt idx="54">
                  <c:v>Gwimire-SHAM4WLE</c:v>
                </c:pt>
                <c:pt idx="55">
                  <c:v>MN-SHAF</c:v>
                </c:pt>
                <c:pt idx="56">
                  <c:v>Common_4returns</c:v>
                </c:pt>
                <c:pt idx="57">
                  <c:v>MESMIS</c:v>
                </c:pt>
                <c:pt idx="58">
                  <c:v>MEA</c:v>
                </c:pt>
                <c:pt idx="59">
                  <c:v>CIAT-ISFM</c:v>
                </c:pt>
                <c:pt idx="60">
                  <c:v>CICES</c:v>
                </c:pt>
                <c:pt idx="61">
                  <c:v>Stockdale-CFMSH</c:v>
                </c:pt>
                <c:pt idx="62">
                  <c:v>EEA-SMEITSHA</c:v>
                </c:pt>
                <c:pt idx="63">
                  <c:v>EJP-SIREN</c:v>
                </c:pt>
                <c:pt idx="64">
                  <c:v>Tittonel-sysageco</c:v>
                </c:pt>
                <c:pt idx="65">
                  <c:v>nestle-RAF</c:v>
                </c:pt>
                <c:pt idx="66">
                  <c:v>Cornell-SHMF</c:v>
                </c:pt>
                <c:pt idx="67">
                  <c:v>Karlen_SMAFT</c:v>
                </c:pt>
                <c:pt idx="68">
                  <c:v>FAO-VGSSM</c:v>
                </c:pt>
                <c:pt idx="69">
                  <c:v>ALL</c:v>
                </c:pt>
                <c:pt idx="70">
                  <c:v>ESFSIH</c:v>
                </c:pt>
                <c:pt idx="71">
                  <c:v>FRN_2017</c:v>
                </c:pt>
                <c:pt idx="72">
                  <c:v>FSDT</c:v>
                </c:pt>
                <c:pt idx="73">
                  <c:v>IMLPG</c:v>
                </c:pt>
                <c:pt idx="74">
                  <c:v>IMLTG</c:v>
                </c:pt>
                <c:pt idx="75">
                  <c:v>LT</c:v>
                </c:pt>
                <c:pt idx="76">
                  <c:v>pILA</c:v>
                </c:pt>
                <c:pt idx="77">
                  <c:v>4RF</c:v>
                </c:pt>
                <c:pt idx="78">
                  <c:v>ES4L</c:v>
                </c:pt>
                <c:pt idx="79">
                  <c:v>FSAT_2021</c:v>
                </c:pt>
                <c:pt idx="80">
                  <c:v>ILA_2017</c:v>
                </c:pt>
                <c:pt idx="81">
                  <c:v>ILA_2020</c:v>
                </c:pt>
                <c:pt idx="82">
                  <c:v>ILA_2024</c:v>
                </c:pt>
              </c:strCache>
            </c:strRef>
          </c:cat>
          <c:val>
            <c:numRef>
              <c:f>frameworks_categorised!$L$2:$L$84</c:f>
              <c:numCache>
                <c:formatCode>General</c:formatCode>
                <c:ptCount val="83"/>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2</c:v>
                </c:pt>
                <c:pt idx="33">
                  <c:v>2</c:v>
                </c:pt>
                <c:pt idx="34">
                  <c:v>2</c:v>
                </c:pt>
                <c:pt idx="35">
                  <c:v>2</c:v>
                </c:pt>
                <c:pt idx="36">
                  <c:v>2</c:v>
                </c:pt>
                <c:pt idx="37">
                  <c:v>2</c:v>
                </c:pt>
                <c:pt idx="38">
                  <c:v>2</c:v>
                </c:pt>
                <c:pt idx="39">
                  <c:v>2</c:v>
                </c:pt>
                <c:pt idx="40">
                  <c:v>2</c:v>
                </c:pt>
                <c:pt idx="41">
                  <c:v>2</c:v>
                </c:pt>
                <c:pt idx="42">
                  <c:v>2</c:v>
                </c:pt>
                <c:pt idx="43">
                  <c:v>2</c:v>
                </c:pt>
                <c:pt idx="44">
                  <c:v>2</c:v>
                </c:pt>
                <c:pt idx="45">
                  <c:v>2</c:v>
                </c:pt>
                <c:pt idx="46">
                  <c:v>2</c:v>
                </c:pt>
                <c:pt idx="47">
                  <c:v>2</c:v>
                </c:pt>
                <c:pt idx="48">
                  <c:v>2</c:v>
                </c:pt>
                <c:pt idx="49">
                  <c:v>2</c:v>
                </c:pt>
                <c:pt idx="50">
                  <c:v>2</c:v>
                </c:pt>
                <c:pt idx="51">
                  <c:v>2</c:v>
                </c:pt>
                <c:pt idx="52">
                  <c:v>2</c:v>
                </c:pt>
                <c:pt idx="53">
                  <c:v>2</c:v>
                </c:pt>
                <c:pt idx="54">
                  <c:v>2</c:v>
                </c:pt>
                <c:pt idx="55">
                  <c:v>2</c:v>
                </c:pt>
                <c:pt idx="56">
                  <c:v>2</c:v>
                </c:pt>
                <c:pt idx="57">
                  <c:v>3</c:v>
                </c:pt>
                <c:pt idx="58">
                  <c:v>3</c:v>
                </c:pt>
                <c:pt idx="59">
                  <c:v>3</c:v>
                </c:pt>
                <c:pt idx="60">
                  <c:v>3</c:v>
                </c:pt>
                <c:pt idx="61">
                  <c:v>3</c:v>
                </c:pt>
                <c:pt idx="62">
                  <c:v>3</c:v>
                </c:pt>
                <c:pt idx="63">
                  <c:v>3</c:v>
                </c:pt>
                <c:pt idx="64">
                  <c:v>3</c:v>
                </c:pt>
                <c:pt idx="65">
                  <c:v>3</c:v>
                </c:pt>
                <c:pt idx="66">
                  <c:v>1</c:v>
                </c:pt>
                <c:pt idx="67">
                  <c:v>1</c:v>
                </c:pt>
                <c:pt idx="68">
                  <c:v>2</c:v>
                </c:pt>
                <c:pt idx="69">
                  <c:v>2</c:v>
                </c:pt>
                <c:pt idx="70">
                  <c:v>2</c:v>
                </c:pt>
                <c:pt idx="71">
                  <c:v>2</c:v>
                </c:pt>
                <c:pt idx="72">
                  <c:v>2</c:v>
                </c:pt>
                <c:pt idx="73">
                  <c:v>2</c:v>
                </c:pt>
                <c:pt idx="74">
                  <c:v>2</c:v>
                </c:pt>
                <c:pt idx="75">
                  <c:v>2</c:v>
                </c:pt>
                <c:pt idx="76">
                  <c:v>2</c:v>
                </c:pt>
                <c:pt idx="77">
                  <c:v>3</c:v>
                </c:pt>
                <c:pt idx="78">
                  <c:v>3</c:v>
                </c:pt>
                <c:pt idx="79">
                  <c:v>3</c:v>
                </c:pt>
                <c:pt idx="80">
                  <c:v>3</c:v>
                </c:pt>
                <c:pt idx="81">
                  <c:v>3</c:v>
                </c:pt>
                <c:pt idx="82">
                  <c:v>3</c:v>
                </c:pt>
              </c:numCache>
            </c:numRef>
          </c:val>
          <c:extLst>
            <c:ext xmlns:c16="http://schemas.microsoft.com/office/drawing/2014/chart" uri="{C3380CC4-5D6E-409C-BE32-E72D297353CC}">
              <c16:uniqueId val="{00000003-4DE9-432D-A4E3-F84E82A6DA5C}"/>
            </c:ext>
          </c:extLst>
        </c:ser>
        <c:dLbls>
          <c:showLegendKey val="0"/>
          <c:showVal val="0"/>
          <c:showCatName val="0"/>
          <c:showSerName val="0"/>
          <c:showPercent val="0"/>
          <c:showBubbleSize val="0"/>
        </c:dLbls>
        <c:gapWidth val="219"/>
        <c:overlap val="-27"/>
        <c:axId val="599748352"/>
        <c:axId val="599758912"/>
      </c:barChart>
      <c:catAx>
        <c:axId val="599748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599758912"/>
        <c:crosses val="autoZero"/>
        <c:auto val="1"/>
        <c:lblAlgn val="ctr"/>
        <c:lblOffset val="100"/>
        <c:noMultiLvlLbl val="0"/>
      </c:catAx>
      <c:valAx>
        <c:axId val="599758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599748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8679968443747973E-2"/>
          <c:y val="4.6649703138252757E-2"/>
          <c:w val="0.95977512946016907"/>
          <c:h val="0.42425851348734078"/>
        </c:manualLayout>
      </c:layout>
      <c:barChart>
        <c:barDir val="col"/>
        <c:grouping val="stacked"/>
        <c:varyColors val="0"/>
        <c:ser>
          <c:idx val="0"/>
          <c:order val="0"/>
          <c:tx>
            <c:strRef>
              <c:f>years!$L$1</c:f>
              <c:strCache>
                <c:ptCount val="1"/>
                <c:pt idx="0">
                  <c:v>Theory</c:v>
                </c:pt>
              </c:strCache>
            </c:strRef>
          </c:tx>
          <c:spPr>
            <a:solidFill>
              <a:schemeClr val="tx1"/>
            </a:solidFill>
            <a:ln>
              <a:noFill/>
            </a:ln>
            <a:effectLst/>
          </c:spPr>
          <c:invertIfNegative val="0"/>
          <c:cat>
            <c:multiLvlStrRef>
              <c:f>years!$H$2:$I$65</c:f>
              <c:multiLvlStrCache>
                <c:ptCount val="64"/>
                <c:lvl>
                  <c:pt idx="0">
                    <c:v>Pinstrup‐Andersen and Hazell 1985</c:v>
                  </c:pt>
                  <c:pt idx="1">
                    <c:v>UNEP 2011</c:v>
                  </c:pt>
                  <c:pt idx="2">
                    <c:v>Scoones 1998</c:v>
                  </c:pt>
                  <c:pt idx="3">
                    <c:v>Arshad and Martin 2002</c:v>
                  </c:pt>
                  <c:pt idx="4">
                    <c:v>Holmgren 2017</c:v>
                  </c:pt>
                  <c:pt idx="5">
                    <c:v>López-Ridaura et al. 2002</c:v>
                  </c:pt>
                  <c:pt idx="6">
                    <c:v>NEPAD 2003</c:v>
                  </c:pt>
                  <c:pt idx="7">
                    <c:v>Andrews et al. 2004</c:v>
                  </c:pt>
                  <c:pt idx="8">
                    <c:v>Alcamo et al. 2003</c:v>
                  </c:pt>
                  <c:pt idx="9">
                    <c:v>Millennium Ecosystem Assessment 2005</c:v>
                  </c:pt>
                  <c:pt idx="10">
                    <c:v>Neßhöver et al. 2012</c:v>
                  </c:pt>
                  <c:pt idx="11">
                    <c:v>IFA 2009</c:v>
                  </c:pt>
                  <c:pt idx="12">
                    <c:v>Sanginga and Woomer 2009</c:v>
                  </c:pt>
                  <c:pt idx="13">
                    <c:v>Birner and Resnick 2010</c:v>
                  </c:pt>
                  <c:pt idx="14">
                    <c:v>Sayer et al. 2013</c:v>
                  </c:pt>
                  <c:pt idx="15">
                    <c:v>Johnston and Bruulsema 2014</c:v>
                  </c:pt>
                  <c:pt idx="16">
                    <c:v>NEPAD 2015</c:v>
                  </c:pt>
                  <c:pt idx="17">
                    <c:v>iPES 2015</c:v>
                  </c:pt>
                  <c:pt idx="18">
                    <c:v>Moebius-Clune et al. 2017</c:v>
                  </c:pt>
                  <c:pt idx="19">
                    <c:v>Musumba et al. 2017</c:v>
                  </c:pt>
                  <c:pt idx="20">
                    <c:v>Thaxton et al. 2017</c:v>
                  </c:pt>
                  <c:pt idx="21">
                    <c:v>FAO 2017a</c:v>
                  </c:pt>
                  <c:pt idx="22">
                    <c:v>FAO-ITPS 2017</c:v>
                  </c:pt>
                  <c:pt idx="23">
                    <c:v>Cowie et al. 2018</c:v>
                  </c:pt>
                  <c:pt idx="24">
                    <c:v>Cowie et al. 2018</c:v>
                  </c:pt>
                  <c:pt idx="25">
                    <c:v>Haines-Young and Potschin 2018</c:v>
                  </c:pt>
                  <c:pt idx="26">
                    <c:v>Stockdale et al. 2019</c:v>
                  </c:pt>
                  <c:pt idx="27">
                    <c:v>FAO 2019</c:v>
                  </c:pt>
                  <c:pt idx="28">
                    <c:v>Apfelbaum et al. 2019</c:v>
                  </c:pt>
                  <c:pt idx="29">
                    <c:v>Devine et al. 2021</c:v>
                  </c:pt>
                  <c:pt idx="30">
                    <c:v>FAO-ITPS 2020</c:v>
                  </c:pt>
                  <c:pt idx="31">
                    <c:v>FAO and INRAE 2020</c:v>
                  </c:pt>
                  <c:pt idx="32">
                    <c:v>Jian et al. 2020</c:v>
                  </c:pt>
                  <c:pt idx="33">
                    <c:v>FAO 2018</c:v>
                  </c:pt>
                  <c:pt idx="34">
                    <c:v>Plieninger et al. 2020</c:v>
                  </c:pt>
                  <c:pt idx="35">
                    <c:v>Lehmann et al. 2020</c:v>
                  </c:pt>
                  <c:pt idx="36">
                    <c:v>USDA-NRCS 2021</c:v>
                  </c:pt>
                  <c:pt idx="37">
                    <c:v>Wezel et al. 2020</c:v>
                  </c:pt>
                  <c:pt idx="38">
                    <c:v>AGRF 2020</c:v>
                  </c:pt>
                  <c:pt idx="39">
                    <c:v>Nunes et al. 2021</c:v>
                  </c:pt>
                  <c:pt idx="40">
                    <c:v>SKI 2021</c:v>
                  </c:pt>
                  <c:pt idx="41">
                    <c:v>van der Ploeg 2021</c:v>
                  </c:pt>
                  <c:pt idx="42">
                    <c:v>UNEP-WCMC 2021</c:v>
                  </c:pt>
                  <c:pt idx="43">
                    <c:v>FS-TIP 2021</c:v>
                  </c:pt>
                  <c:pt idx="44">
                    <c:v>Posthumus et al. 2021</c:v>
                  </c:pt>
                  <c:pt idx="45">
                    <c:v>European Commission 2021</c:v>
                  </c:pt>
                  <c:pt idx="46">
                    <c:v>1000 Landscapes for 1 Billion People 2022b</c:v>
                  </c:pt>
                  <c:pt idx="47">
                    <c:v>Ros et al. 2022</c:v>
                  </c:pt>
                  <c:pt idx="48">
                    <c:v>1000 Landscapes for 1 Billion People 2022a</c:v>
                  </c:pt>
                  <c:pt idx="49">
                    <c:v>Govindakrishnan et al. 2021</c:v>
                  </c:pt>
                  <c:pt idx="50">
                    <c:v>Triomphe et al. 2022</c:v>
                  </c:pt>
                  <c:pt idx="51">
                    <c:v>FAO-OEWG 2022</c:v>
                  </c:pt>
                  <c:pt idx="52">
                    <c:v>EEA 2023</c:v>
                  </c:pt>
                  <c:pt idx="53">
                    <c:v>Faber et al. 2022</c:v>
                  </c:pt>
                  <c:pt idx="54">
                    <c:v>Ghimire et al. 2023</c:v>
                  </c:pt>
                  <c:pt idx="55">
                    <c:v>SAI Platform 2023</c:v>
                  </c:pt>
                  <c:pt idx="56">
                    <c:v>Vanlauwe et al. 2023</c:v>
                  </c:pt>
                  <c:pt idx="57">
                    <c:v>Tittonell 2023</c:v>
                  </c:pt>
                  <c:pt idx="58">
                    <c:v>Deel et al. 2024</c:v>
                  </c:pt>
                  <c:pt idx="59">
                    <c:v>Matson et al. 2024a</c:v>
                  </c:pt>
                  <c:pt idx="60">
                    <c:v>Montgomery et al. 2024</c:v>
                  </c:pt>
                  <c:pt idx="61">
                    <c:v>Commonland et al 2024</c:v>
                  </c:pt>
                  <c:pt idx="62">
                    <c:v>Rhees et al. 2024</c:v>
                  </c:pt>
                  <c:pt idx="63">
                    <c:v>Nestle 2024</c:v>
                  </c:pt>
                </c:lvl>
                <c:lvl>
                  <c:pt idx="0">
                    <c:v>1985-2009</c:v>
                  </c:pt>
                  <c:pt idx="13">
                    <c:v>2010-2016</c:v>
                  </c:pt>
                  <c:pt idx="19">
                    <c:v>2017-2020</c:v>
                  </c:pt>
                  <c:pt idx="39">
                    <c:v>2021-2024</c:v>
                  </c:pt>
                </c:lvl>
              </c:multiLvlStrCache>
            </c:multiLvlStrRef>
          </c:cat>
          <c:val>
            <c:numRef>
              <c:f>years!$L$2:$L$65</c:f>
              <c:numCache>
                <c:formatCode>General</c:formatCode>
                <c:ptCount val="64"/>
                <c:pt idx="0">
                  <c:v>1</c:v>
                </c:pt>
                <c:pt idx="1">
                  <c:v>1</c:v>
                </c:pt>
                <c:pt idx="2">
                  <c:v>1</c:v>
                </c:pt>
                <c:pt idx="3">
                  <c:v>0</c:v>
                </c:pt>
                <c:pt idx="4">
                  <c:v>1</c:v>
                </c:pt>
                <c:pt idx="5">
                  <c:v>1</c:v>
                </c:pt>
                <c:pt idx="6">
                  <c:v>1</c:v>
                </c:pt>
                <c:pt idx="7">
                  <c:v>1</c:v>
                </c:pt>
                <c:pt idx="8">
                  <c:v>1</c:v>
                </c:pt>
                <c:pt idx="9">
                  <c:v>1</c:v>
                </c:pt>
                <c:pt idx="10">
                  <c:v>1</c:v>
                </c:pt>
                <c:pt idx="11">
                  <c:v>1</c:v>
                </c:pt>
                <c:pt idx="12">
                  <c:v>1</c:v>
                </c:pt>
                <c:pt idx="13">
                  <c:v>0</c:v>
                </c:pt>
                <c:pt idx="14">
                  <c:v>1</c:v>
                </c:pt>
                <c:pt idx="15">
                  <c:v>1</c:v>
                </c:pt>
                <c:pt idx="16">
                  <c:v>0</c:v>
                </c:pt>
                <c:pt idx="17">
                  <c:v>1</c:v>
                </c:pt>
                <c:pt idx="18">
                  <c:v>0</c:v>
                </c:pt>
                <c:pt idx="19">
                  <c:v>0</c:v>
                </c:pt>
                <c:pt idx="20">
                  <c:v>1</c:v>
                </c:pt>
                <c:pt idx="21">
                  <c:v>1</c:v>
                </c:pt>
                <c:pt idx="22">
                  <c:v>1</c:v>
                </c:pt>
                <c:pt idx="23">
                  <c:v>1</c:v>
                </c:pt>
                <c:pt idx="24">
                  <c:v>1</c:v>
                </c:pt>
                <c:pt idx="25">
                  <c:v>1</c:v>
                </c:pt>
                <c:pt idx="26">
                  <c:v>1</c:v>
                </c:pt>
                <c:pt idx="27">
                  <c:v>0</c:v>
                </c:pt>
                <c:pt idx="28">
                  <c:v>1</c:v>
                </c:pt>
                <c:pt idx="29">
                  <c:v>0</c:v>
                </c:pt>
                <c:pt idx="30">
                  <c:v>0</c:v>
                </c:pt>
                <c:pt idx="31">
                  <c:v>0</c:v>
                </c:pt>
                <c:pt idx="32">
                  <c:v>0</c:v>
                </c:pt>
                <c:pt idx="33">
                  <c:v>1</c:v>
                </c:pt>
                <c:pt idx="34">
                  <c:v>1</c:v>
                </c:pt>
                <c:pt idx="35">
                  <c:v>1</c:v>
                </c:pt>
                <c:pt idx="36">
                  <c:v>1</c:v>
                </c:pt>
                <c:pt idx="37">
                  <c:v>1</c:v>
                </c:pt>
                <c:pt idx="38">
                  <c:v>1</c:v>
                </c:pt>
                <c:pt idx="39">
                  <c:v>0</c:v>
                </c:pt>
                <c:pt idx="40">
                  <c:v>0</c:v>
                </c:pt>
                <c:pt idx="41">
                  <c:v>1</c:v>
                </c:pt>
                <c:pt idx="42">
                  <c:v>1</c:v>
                </c:pt>
                <c:pt idx="43">
                  <c:v>1</c:v>
                </c:pt>
                <c:pt idx="44">
                  <c:v>1</c:v>
                </c:pt>
                <c:pt idx="45">
                  <c:v>1</c:v>
                </c:pt>
                <c:pt idx="46">
                  <c:v>0</c:v>
                </c:pt>
                <c:pt idx="47">
                  <c:v>0</c:v>
                </c:pt>
                <c:pt idx="48">
                  <c:v>0</c:v>
                </c:pt>
                <c:pt idx="49">
                  <c:v>0</c:v>
                </c:pt>
                <c:pt idx="50">
                  <c:v>1</c:v>
                </c:pt>
                <c:pt idx="51">
                  <c:v>1</c:v>
                </c:pt>
                <c:pt idx="52">
                  <c:v>1</c:v>
                </c:pt>
                <c:pt idx="53">
                  <c:v>1</c:v>
                </c:pt>
                <c:pt idx="54">
                  <c:v>0</c:v>
                </c:pt>
                <c:pt idx="55">
                  <c:v>1</c:v>
                </c:pt>
                <c:pt idx="56">
                  <c:v>1</c:v>
                </c:pt>
                <c:pt idx="57">
                  <c:v>1</c:v>
                </c:pt>
                <c:pt idx="58">
                  <c:v>0</c:v>
                </c:pt>
                <c:pt idx="59">
                  <c:v>0</c:v>
                </c:pt>
                <c:pt idx="60">
                  <c:v>1</c:v>
                </c:pt>
                <c:pt idx="61">
                  <c:v>1</c:v>
                </c:pt>
                <c:pt idx="62">
                  <c:v>1</c:v>
                </c:pt>
                <c:pt idx="63">
                  <c:v>1</c:v>
                </c:pt>
              </c:numCache>
            </c:numRef>
          </c:val>
          <c:extLst>
            <c:ext xmlns:c16="http://schemas.microsoft.com/office/drawing/2014/chart" uri="{C3380CC4-5D6E-409C-BE32-E72D297353CC}">
              <c16:uniqueId val="{00000000-9A6E-4404-90B8-A4A2966FBD82}"/>
            </c:ext>
          </c:extLst>
        </c:ser>
        <c:ser>
          <c:idx val="1"/>
          <c:order val="1"/>
          <c:tx>
            <c:strRef>
              <c:f>years!$M$1</c:f>
              <c:strCache>
                <c:ptCount val="1"/>
                <c:pt idx="0">
                  <c:v>Practical</c:v>
                </c:pt>
              </c:strCache>
            </c:strRef>
          </c:tx>
          <c:spPr>
            <a:pattFill prst="trellis">
              <a:fgClr>
                <a:schemeClr val="tx1"/>
              </a:fgClr>
              <a:bgClr>
                <a:schemeClr val="bg1"/>
              </a:bgClr>
            </a:pattFill>
            <a:ln>
              <a:noFill/>
            </a:ln>
            <a:effectLst/>
          </c:spPr>
          <c:invertIfNegative val="0"/>
          <c:cat>
            <c:multiLvlStrRef>
              <c:f>years!$H$2:$I$65</c:f>
              <c:multiLvlStrCache>
                <c:ptCount val="64"/>
                <c:lvl>
                  <c:pt idx="0">
                    <c:v>Pinstrup‐Andersen and Hazell 1985</c:v>
                  </c:pt>
                  <c:pt idx="1">
                    <c:v>UNEP 2011</c:v>
                  </c:pt>
                  <c:pt idx="2">
                    <c:v>Scoones 1998</c:v>
                  </c:pt>
                  <c:pt idx="3">
                    <c:v>Arshad and Martin 2002</c:v>
                  </c:pt>
                  <c:pt idx="4">
                    <c:v>Holmgren 2017</c:v>
                  </c:pt>
                  <c:pt idx="5">
                    <c:v>López-Ridaura et al. 2002</c:v>
                  </c:pt>
                  <c:pt idx="6">
                    <c:v>NEPAD 2003</c:v>
                  </c:pt>
                  <c:pt idx="7">
                    <c:v>Andrews et al. 2004</c:v>
                  </c:pt>
                  <c:pt idx="8">
                    <c:v>Alcamo et al. 2003</c:v>
                  </c:pt>
                  <c:pt idx="9">
                    <c:v>Millennium Ecosystem Assessment 2005</c:v>
                  </c:pt>
                  <c:pt idx="10">
                    <c:v>Neßhöver et al. 2012</c:v>
                  </c:pt>
                  <c:pt idx="11">
                    <c:v>IFA 2009</c:v>
                  </c:pt>
                  <c:pt idx="12">
                    <c:v>Sanginga and Woomer 2009</c:v>
                  </c:pt>
                  <c:pt idx="13">
                    <c:v>Birner and Resnick 2010</c:v>
                  </c:pt>
                  <c:pt idx="14">
                    <c:v>Sayer et al. 2013</c:v>
                  </c:pt>
                  <c:pt idx="15">
                    <c:v>Johnston and Bruulsema 2014</c:v>
                  </c:pt>
                  <c:pt idx="16">
                    <c:v>NEPAD 2015</c:v>
                  </c:pt>
                  <c:pt idx="17">
                    <c:v>iPES 2015</c:v>
                  </c:pt>
                  <c:pt idx="18">
                    <c:v>Moebius-Clune et al. 2017</c:v>
                  </c:pt>
                  <c:pt idx="19">
                    <c:v>Musumba et al. 2017</c:v>
                  </c:pt>
                  <c:pt idx="20">
                    <c:v>Thaxton et al. 2017</c:v>
                  </c:pt>
                  <c:pt idx="21">
                    <c:v>FAO 2017a</c:v>
                  </c:pt>
                  <c:pt idx="22">
                    <c:v>FAO-ITPS 2017</c:v>
                  </c:pt>
                  <c:pt idx="23">
                    <c:v>Cowie et al. 2018</c:v>
                  </c:pt>
                  <c:pt idx="24">
                    <c:v>Cowie et al. 2018</c:v>
                  </c:pt>
                  <c:pt idx="25">
                    <c:v>Haines-Young and Potschin 2018</c:v>
                  </c:pt>
                  <c:pt idx="26">
                    <c:v>Stockdale et al. 2019</c:v>
                  </c:pt>
                  <c:pt idx="27">
                    <c:v>FAO 2019</c:v>
                  </c:pt>
                  <c:pt idx="28">
                    <c:v>Apfelbaum et al. 2019</c:v>
                  </c:pt>
                  <c:pt idx="29">
                    <c:v>Devine et al. 2021</c:v>
                  </c:pt>
                  <c:pt idx="30">
                    <c:v>FAO-ITPS 2020</c:v>
                  </c:pt>
                  <c:pt idx="31">
                    <c:v>FAO and INRAE 2020</c:v>
                  </c:pt>
                  <c:pt idx="32">
                    <c:v>Jian et al. 2020</c:v>
                  </c:pt>
                  <c:pt idx="33">
                    <c:v>FAO 2018</c:v>
                  </c:pt>
                  <c:pt idx="34">
                    <c:v>Plieninger et al. 2020</c:v>
                  </c:pt>
                  <c:pt idx="35">
                    <c:v>Lehmann et al. 2020</c:v>
                  </c:pt>
                  <c:pt idx="36">
                    <c:v>USDA-NRCS 2021</c:v>
                  </c:pt>
                  <c:pt idx="37">
                    <c:v>Wezel et al. 2020</c:v>
                  </c:pt>
                  <c:pt idx="38">
                    <c:v>AGRF 2020</c:v>
                  </c:pt>
                  <c:pt idx="39">
                    <c:v>Nunes et al. 2021</c:v>
                  </c:pt>
                  <c:pt idx="40">
                    <c:v>SKI 2021</c:v>
                  </c:pt>
                  <c:pt idx="41">
                    <c:v>van der Ploeg 2021</c:v>
                  </c:pt>
                  <c:pt idx="42">
                    <c:v>UNEP-WCMC 2021</c:v>
                  </c:pt>
                  <c:pt idx="43">
                    <c:v>FS-TIP 2021</c:v>
                  </c:pt>
                  <c:pt idx="44">
                    <c:v>Posthumus et al. 2021</c:v>
                  </c:pt>
                  <c:pt idx="45">
                    <c:v>European Commission 2021</c:v>
                  </c:pt>
                  <c:pt idx="46">
                    <c:v>1000 Landscapes for 1 Billion People 2022b</c:v>
                  </c:pt>
                  <c:pt idx="47">
                    <c:v>Ros et al. 2022</c:v>
                  </c:pt>
                  <c:pt idx="48">
                    <c:v>1000 Landscapes for 1 Billion People 2022a</c:v>
                  </c:pt>
                  <c:pt idx="49">
                    <c:v>Govindakrishnan et al. 2021</c:v>
                  </c:pt>
                  <c:pt idx="50">
                    <c:v>Triomphe et al. 2022</c:v>
                  </c:pt>
                  <c:pt idx="51">
                    <c:v>FAO-OEWG 2022</c:v>
                  </c:pt>
                  <c:pt idx="52">
                    <c:v>EEA 2023</c:v>
                  </c:pt>
                  <c:pt idx="53">
                    <c:v>Faber et al. 2022</c:v>
                  </c:pt>
                  <c:pt idx="54">
                    <c:v>Ghimire et al. 2023</c:v>
                  </c:pt>
                  <c:pt idx="55">
                    <c:v>SAI Platform 2023</c:v>
                  </c:pt>
                  <c:pt idx="56">
                    <c:v>Vanlauwe et al. 2023</c:v>
                  </c:pt>
                  <c:pt idx="57">
                    <c:v>Tittonell 2023</c:v>
                  </c:pt>
                  <c:pt idx="58">
                    <c:v>Deel et al. 2024</c:v>
                  </c:pt>
                  <c:pt idx="59">
                    <c:v>Matson et al. 2024a</c:v>
                  </c:pt>
                  <c:pt idx="60">
                    <c:v>Montgomery et al. 2024</c:v>
                  </c:pt>
                  <c:pt idx="61">
                    <c:v>Commonland et al 2024</c:v>
                  </c:pt>
                  <c:pt idx="62">
                    <c:v>Rhees et al. 2024</c:v>
                  </c:pt>
                  <c:pt idx="63">
                    <c:v>Nestle 2024</c:v>
                  </c:pt>
                </c:lvl>
                <c:lvl>
                  <c:pt idx="0">
                    <c:v>1985-2009</c:v>
                  </c:pt>
                  <c:pt idx="13">
                    <c:v>2010-2016</c:v>
                  </c:pt>
                  <c:pt idx="19">
                    <c:v>2017-2020</c:v>
                  </c:pt>
                  <c:pt idx="39">
                    <c:v>2021-2024</c:v>
                  </c:pt>
                </c:lvl>
              </c:multiLvlStrCache>
            </c:multiLvlStrRef>
          </c:cat>
          <c:val>
            <c:numRef>
              <c:f>years!$M$2:$M$65</c:f>
              <c:numCache>
                <c:formatCode>General</c:formatCode>
                <c:ptCount val="64"/>
                <c:pt idx="0">
                  <c:v>0</c:v>
                </c:pt>
                <c:pt idx="1">
                  <c:v>1</c:v>
                </c:pt>
                <c:pt idx="2">
                  <c:v>0</c:v>
                </c:pt>
                <c:pt idx="3">
                  <c:v>0</c:v>
                </c:pt>
                <c:pt idx="4">
                  <c:v>0</c:v>
                </c:pt>
                <c:pt idx="5">
                  <c:v>1</c:v>
                </c:pt>
                <c:pt idx="6">
                  <c:v>1</c:v>
                </c:pt>
                <c:pt idx="7">
                  <c:v>0</c:v>
                </c:pt>
                <c:pt idx="8">
                  <c:v>0</c:v>
                </c:pt>
                <c:pt idx="9">
                  <c:v>1</c:v>
                </c:pt>
                <c:pt idx="10">
                  <c:v>0</c:v>
                </c:pt>
                <c:pt idx="11">
                  <c:v>0</c:v>
                </c:pt>
                <c:pt idx="12">
                  <c:v>1</c:v>
                </c:pt>
                <c:pt idx="13">
                  <c:v>1</c:v>
                </c:pt>
                <c:pt idx="14">
                  <c:v>0</c:v>
                </c:pt>
                <c:pt idx="15">
                  <c:v>0</c:v>
                </c:pt>
                <c:pt idx="16">
                  <c:v>0</c:v>
                </c:pt>
                <c:pt idx="17">
                  <c:v>0</c:v>
                </c:pt>
                <c:pt idx="18">
                  <c:v>0</c:v>
                </c:pt>
                <c:pt idx="19">
                  <c:v>0</c:v>
                </c:pt>
                <c:pt idx="20">
                  <c:v>0</c:v>
                </c:pt>
                <c:pt idx="21">
                  <c:v>1</c:v>
                </c:pt>
                <c:pt idx="22">
                  <c:v>1</c:v>
                </c:pt>
                <c:pt idx="23">
                  <c:v>0</c:v>
                </c:pt>
                <c:pt idx="24">
                  <c:v>0</c:v>
                </c:pt>
                <c:pt idx="25">
                  <c:v>1</c:v>
                </c:pt>
                <c:pt idx="26">
                  <c:v>1</c:v>
                </c:pt>
                <c:pt idx="27">
                  <c:v>0</c:v>
                </c:pt>
                <c:pt idx="28">
                  <c:v>0</c:v>
                </c:pt>
                <c:pt idx="29">
                  <c:v>0</c:v>
                </c:pt>
                <c:pt idx="30">
                  <c:v>0</c:v>
                </c:pt>
                <c:pt idx="31">
                  <c:v>1</c:v>
                </c:pt>
                <c:pt idx="32">
                  <c:v>1</c:v>
                </c:pt>
                <c:pt idx="33">
                  <c:v>0</c:v>
                </c:pt>
                <c:pt idx="34">
                  <c:v>0</c:v>
                </c:pt>
                <c:pt idx="35">
                  <c:v>0</c:v>
                </c:pt>
                <c:pt idx="36">
                  <c:v>0</c:v>
                </c:pt>
                <c:pt idx="37">
                  <c:v>0</c:v>
                </c:pt>
                <c:pt idx="38">
                  <c:v>1</c:v>
                </c:pt>
                <c:pt idx="39">
                  <c:v>0</c:v>
                </c:pt>
                <c:pt idx="40">
                  <c:v>0</c:v>
                </c:pt>
                <c:pt idx="41">
                  <c:v>0</c:v>
                </c:pt>
                <c:pt idx="42">
                  <c:v>0</c:v>
                </c:pt>
                <c:pt idx="43">
                  <c:v>0</c:v>
                </c:pt>
                <c:pt idx="44">
                  <c:v>0</c:v>
                </c:pt>
                <c:pt idx="45">
                  <c:v>1</c:v>
                </c:pt>
                <c:pt idx="46">
                  <c:v>0</c:v>
                </c:pt>
                <c:pt idx="47">
                  <c:v>0</c:v>
                </c:pt>
                <c:pt idx="48">
                  <c:v>1</c:v>
                </c:pt>
                <c:pt idx="49">
                  <c:v>1</c:v>
                </c:pt>
                <c:pt idx="50">
                  <c:v>0</c:v>
                </c:pt>
                <c:pt idx="51">
                  <c:v>0</c:v>
                </c:pt>
                <c:pt idx="52">
                  <c:v>1</c:v>
                </c:pt>
                <c:pt idx="53">
                  <c:v>1</c:v>
                </c:pt>
                <c:pt idx="54">
                  <c:v>1</c:v>
                </c:pt>
                <c:pt idx="55">
                  <c:v>0</c:v>
                </c:pt>
                <c:pt idx="56">
                  <c:v>1</c:v>
                </c:pt>
                <c:pt idx="57">
                  <c:v>1</c:v>
                </c:pt>
                <c:pt idx="58">
                  <c:v>0</c:v>
                </c:pt>
                <c:pt idx="59">
                  <c:v>0</c:v>
                </c:pt>
                <c:pt idx="60">
                  <c:v>0</c:v>
                </c:pt>
                <c:pt idx="61">
                  <c:v>0</c:v>
                </c:pt>
                <c:pt idx="62">
                  <c:v>1</c:v>
                </c:pt>
                <c:pt idx="63">
                  <c:v>1</c:v>
                </c:pt>
              </c:numCache>
            </c:numRef>
          </c:val>
          <c:extLst>
            <c:ext xmlns:c16="http://schemas.microsoft.com/office/drawing/2014/chart" uri="{C3380CC4-5D6E-409C-BE32-E72D297353CC}">
              <c16:uniqueId val="{00000001-9A6E-4404-90B8-A4A2966FBD82}"/>
            </c:ext>
          </c:extLst>
        </c:ser>
        <c:ser>
          <c:idx val="2"/>
          <c:order val="2"/>
          <c:tx>
            <c:strRef>
              <c:f>years!$N$1</c:f>
              <c:strCache>
                <c:ptCount val="1"/>
                <c:pt idx="0">
                  <c:v>Analytical</c:v>
                </c:pt>
              </c:strCache>
            </c:strRef>
          </c:tx>
          <c:spPr>
            <a:pattFill prst="pct50">
              <a:fgClr>
                <a:schemeClr val="tx1"/>
              </a:fgClr>
              <a:bgClr>
                <a:schemeClr val="bg1"/>
              </a:bgClr>
            </a:pattFill>
            <a:ln w="15875">
              <a:solidFill>
                <a:schemeClr val="tx1"/>
              </a:solidFill>
            </a:ln>
            <a:effectLst/>
          </c:spPr>
          <c:invertIfNegative val="0"/>
          <c:cat>
            <c:multiLvlStrRef>
              <c:f>years!$H$2:$I$65</c:f>
              <c:multiLvlStrCache>
                <c:ptCount val="64"/>
                <c:lvl>
                  <c:pt idx="0">
                    <c:v>Pinstrup‐Andersen and Hazell 1985</c:v>
                  </c:pt>
                  <c:pt idx="1">
                    <c:v>UNEP 2011</c:v>
                  </c:pt>
                  <c:pt idx="2">
                    <c:v>Scoones 1998</c:v>
                  </c:pt>
                  <c:pt idx="3">
                    <c:v>Arshad and Martin 2002</c:v>
                  </c:pt>
                  <c:pt idx="4">
                    <c:v>Holmgren 2017</c:v>
                  </c:pt>
                  <c:pt idx="5">
                    <c:v>López-Ridaura et al. 2002</c:v>
                  </c:pt>
                  <c:pt idx="6">
                    <c:v>NEPAD 2003</c:v>
                  </c:pt>
                  <c:pt idx="7">
                    <c:v>Andrews et al. 2004</c:v>
                  </c:pt>
                  <c:pt idx="8">
                    <c:v>Alcamo et al. 2003</c:v>
                  </c:pt>
                  <c:pt idx="9">
                    <c:v>Millennium Ecosystem Assessment 2005</c:v>
                  </c:pt>
                  <c:pt idx="10">
                    <c:v>Neßhöver et al. 2012</c:v>
                  </c:pt>
                  <c:pt idx="11">
                    <c:v>IFA 2009</c:v>
                  </c:pt>
                  <c:pt idx="12">
                    <c:v>Sanginga and Woomer 2009</c:v>
                  </c:pt>
                  <c:pt idx="13">
                    <c:v>Birner and Resnick 2010</c:v>
                  </c:pt>
                  <c:pt idx="14">
                    <c:v>Sayer et al. 2013</c:v>
                  </c:pt>
                  <c:pt idx="15">
                    <c:v>Johnston and Bruulsema 2014</c:v>
                  </c:pt>
                  <c:pt idx="16">
                    <c:v>NEPAD 2015</c:v>
                  </c:pt>
                  <c:pt idx="17">
                    <c:v>iPES 2015</c:v>
                  </c:pt>
                  <c:pt idx="18">
                    <c:v>Moebius-Clune et al. 2017</c:v>
                  </c:pt>
                  <c:pt idx="19">
                    <c:v>Musumba et al. 2017</c:v>
                  </c:pt>
                  <c:pt idx="20">
                    <c:v>Thaxton et al. 2017</c:v>
                  </c:pt>
                  <c:pt idx="21">
                    <c:v>FAO 2017a</c:v>
                  </c:pt>
                  <c:pt idx="22">
                    <c:v>FAO-ITPS 2017</c:v>
                  </c:pt>
                  <c:pt idx="23">
                    <c:v>Cowie et al. 2018</c:v>
                  </c:pt>
                  <c:pt idx="24">
                    <c:v>Cowie et al. 2018</c:v>
                  </c:pt>
                  <c:pt idx="25">
                    <c:v>Haines-Young and Potschin 2018</c:v>
                  </c:pt>
                  <c:pt idx="26">
                    <c:v>Stockdale et al. 2019</c:v>
                  </c:pt>
                  <c:pt idx="27">
                    <c:v>FAO 2019</c:v>
                  </c:pt>
                  <c:pt idx="28">
                    <c:v>Apfelbaum et al. 2019</c:v>
                  </c:pt>
                  <c:pt idx="29">
                    <c:v>Devine et al. 2021</c:v>
                  </c:pt>
                  <c:pt idx="30">
                    <c:v>FAO-ITPS 2020</c:v>
                  </c:pt>
                  <c:pt idx="31">
                    <c:v>FAO and INRAE 2020</c:v>
                  </c:pt>
                  <c:pt idx="32">
                    <c:v>Jian et al. 2020</c:v>
                  </c:pt>
                  <c:pt idx="33">
                    <c:v>FAO 2018</c:v>
                  </c:pt>
                  <c:pt idx="34">
                    <c:v>Plieninger et al. 2020</c:v>
                  </c:pt>
                  <c:pt idx="35">
                    <c:v>Lehmann et al. 2020</c:v>
                  </c:pt>
                  <c:pt idx="36">
                    <c:v>USDA-NRCS 2021</c:v>
                  </c:pt>
                  <c:pt idx="37">
                    <c:v>Wezel et al. 2020</c:v>
                  </c:pt>
                  <c:pt idx="38">
                    <c:v>AGRF 2020</c:v>
                  </c:pt>
                  <c:pt idx="39">
                    <c:v>Nunes et al. 2021</c:v>
                  </c:pt>
                  <c:pt idx="40">
                    <c:v>SKI 2021</c:v>
                  </c:pt>
                  <c:pt idx="41">
                    <c:v>van der Ploeg 2021</c:v>
                  </c:pt>
                  <c:pt idx="42">
                    <c:v>UNEP-WCMC 2021</c:v>
                  </c:pt>
                  <c:pt idx="43">
                    <c:v>FS-TIP 2021</c:v>
                  </c:pt>
                  <c:pt idx="44">
                    <c:v>Posthumus et al. 2021</c:v>
                  </c:pt>
                  <c:pt idx="45">
                    <c:v>European Commission 2021</c:v>
                  </c:pt>
                  <c:pt idx="46">
                    <c:v>1000 Landscapes for 1 Billion People 2022b</c:v>
                  </c:pt>
                  <c:pt idx="47">
                    <c:v>Ros et al. 2022</c:v>
                  </c:pt>
                  <c:pt idx="48">
                    <c:v>1000 Landscapes for 1 Billion People 2022a</c:v>
                  </c:pt>
                  <c:pt idx="49">
                    <c:v>Govindakrishnan et al. 2021</c:v>
                  </c:pt>
                  <c:pt idx="50">
                    <c:v>Triomphe et al. 2022</c:v>
                  </c:pt>
                  <c:pt idx="51">
                    <c:v>FAO-OEWG 2022</c:v>
                  </c:pt>
                  <c:pt idx="52">
                    <c:v>EEA 2023</c:v>
                  </c:pt>
                  <c:pt idx="53">
                    <c:v>Faber et al. 2022</c:v>
                  </c:pt>
                  <c:pt idx="54">
                    <c:v>Ghimire et al. 2023</c:v>
                  </c:pt>
                  <c:pt idx="55">
                    <c:v>SAI Platform 2023</c:v>
                  </c:pt>
                  <c:pt idx="56">
                    <c:v>Vanlauwe et al. 2023</c:v>
                  </c:pt>
                  <c:pt idx="57">
                    <c:v>Tittonell 2023</c:v>
                  </c:pt>
                  <c:pt idx="58">
                    <c:v>Deel et al. 2024</c:v>
                  </c:pt>
                  <c:pt idx="59">
                    <c:v>Matson et al. 2024a</c:v>
                  </c:pt>
                  <c:pt idx="60">
                    <c:v>Montgomery et al. 2024</c:v>
                  </c:pt>
                  <c:pt idx="61">
                    <c:v>Commonland et al 2024</c:v>
                  </c:pt>
                  <c:pt idx="62">
                    <c:v>Rhees et al. 2024</c:v>
                  </c:pt>
                  <c:pt idx="63">
                    <c:v>Nestle 2024</c:v>
                  </c:pt>
                </c:lvl>
                <c:lvl>
                  <c:pt idx="0">
                    <c:v>1985-2009</c:v>
                  </c:pt>
                  <c:pt idx="13">
                    <c:v>2010-2016</c:v>
                  </c:pt>
                  <c:pt idx="19">
                    <c:v>2017-2020</c:v>
                  </c:pt>
                  <c:pt idx="39">
                    <c:v>2021-2024</c:v>
                  </c:pt>
                </c:lvl>
              </c:multiLvlStrCache>
            </c:multiLvlStrRef>
          </c:cat>
          <c:val>
            <c:numRef>
              <c:f>years!$N$2:$N$65</c:f>
              <c:numCache>
                <c:formatCode>General</c:formatCode>
                <c:ptCount val="64"/>
                <c:pt idx="0">
                  <c:v>0</c:v>
                </c:pt>
                <c:pt idx="1">
                  <c:v>0</c:v>
                </c:pt>
                <c:pt idx="2">
                  <c:v>1</c:v>
                </c:pt>
                <c:pt idx="3">
                  <c:v>1</c:v>
                </c:pt>
                <c:pt idx="4">
                  <c:v>0</c:v>
                </c:pt>
                <c:pt idx="5">
                  <c:v>1</c:v>
                </c:pt>
                <c:pt idx="6">
                  <c:v>0</c:v>
                </c:pt>
                <c:pt idx="7">
                  <c:v>1</c:v>
                </c:pt>
                <c:pt idx="8">
                  <c:v>1</c:v>
                </c:pt>
                <c:pt idx="9">
                  <c:v>1</c:v>
                </c:pt>
                <c:pt idx="10">
                  <c:v>0</c:v>
                </c:pt>
                <c:pt idx="11">
                  <c:v>1</c:v>
                </c:pt>
                <c:pt idx="12">
                  <c:v>1</c:v>
                </c:pt>
                <c:pt idx="13">
                  <c:v>0</c:v>
                </c:pt>
                <c:pt idx="14">
                  <c:v>0</c:v>
                </c:pt>
                <c:pt idx="15">
                  <c:v>0</c:v>
                </c:pt>
                <c:pt idx="16">
                  <c:v>1</c:v>
                </c:pt>
                <c:pt idx="17">
                  <c:v>1</c:v>
                </c:pt>
                <c:pt idx="18">
                  <c:v>1</c:v>
                </c:pt>
                <c:pt idx="19">
                  <c:v>1</c:v>
                </c:pt>
                <c:pt idx="20">
                  <c:v>1</c:v>
                </c:pt>
                <c:pt idx="21">
                  <c:v>0</c:v>
                </c:pt>
                <c:pt idx="22">
                  <c:v>0</c:v>
                </c:pt>
                <c:pt idx="23">
                  <c:v>1</c:v>
                </c:pt>
                <c:pt idx="24">
                  <c:v>1</c:v>
                </c:pt>
                <c:pt idx="25">
                  <c:v>1</c:v>
                </c:pt>
                <c:pt idx="26">
                  <c:v>1</c:v>
                </c:pt>
                <c:pt idx="27">
                  <c:v>1</c:v>
                </c:pt>
                <c:pt idx="28">
                  <c:v>0</c:v>
                </c:pt>
                <c:pt idx="29">
                  <c:v>1</c:v>
                </c:pt>
                <c:pt idx="30">
                  <c:v>1</c:v>
                </c:pt>
                <c:pt idx="31">
                  <c:v>0</c:v>
                </c:pt>
                <c:pt idx="32">
                  <c:v>1</c:v>
                </c:pt>
                <c:pt idx="33">
                  <c:v>0</c:v>
                </c:pt>
                <c:pt idx="34">
                  <c:v>0</c:v>
                </c:pt>
                <c:pt idx="35">
                  <c:v>0</c:v>
                </c:pt>
                <c:pt idx="36">
                  <c:v>1</c:v>
                </c:pt>
                <c:pt idx="37">
                  <c:v>1</c:v>
                </c:pt>
                <c:pt idx="38">
                  <c:v>0</c:v>
                </c:pt>
                <c:pt idx="39">
                  <c:v>1</c:v>
                </c:pt>
                <c:pt idx="40">
                  <c:v>1</c:v>
                </c:pt>
                <c:pt idx="41">
                  <c:v>0</c:v>
                </c:pt>
                <c:pt idx="42">
                  <c:v>1</c:v>
                </c:pt>
                <c:pt idx="43">
                  <c:v>1</c:v>
                </c:pt>
                <c:pt idx="44">
                  <c:v>1</c:v>
                </c:pt>
                <c:pt idx="45">
                  <c:v>0</c:v>
                </c:pt>
                <c:pt idx="46">
                  <c:v>1</c:v>
                </c:pt>
                <c:pt idx="47">
                  <c:v>1</c:v>
                </c:pt>
                <c:pt idx="48">
                  <c:v>0</c:v>
                </c:pt>
                <c:pt idx="49">
                  <c:v>1</c:v>
                </c:pt>
                <c:pt idx="50">
                  <c:v>0</c:v>
                </c:pt>
                <c:pt idx="51">
                  <c:v>0</c:v>
                </c:pt>
                <c:pt idx="52">
                  <c:v>1</c:v>
                </c:pt>
                <c:pt idx="53">
                  <c:v>1</c:v>
                </c:pt>
                <c:pt idx="54">
                  <c:v>1</c:v>
                </c:pt>
                <c:pt idx="55">
                  <c:v>0</c:v>
                </c:pt>
                <c:pt idx="56">
                  <c:v>0</c:v>
                </c:pt>
                <c:pt idx="57">
                  <c:v>1</c:v>
                </c:pt>
                <c:pt idx="58">
                  <c:v>1</c:v>
                </c:pt>
                <c:pt idx="59">
                  <c:v>1</c:v>
                </c:pt>
                <c:pt idx="60">
                  <c:v>0</c:v>
                </c:pt>
                <c:pt idx="61">
                  <c:v>1</c:v>
                </c:pt>
                <c:pt idx="62">
                  <c:v>0</c:v>
                </c:pt>
                <c:pt idx="63">
                  <c:v>1</c:v>
                </c:pt>
              </c:numCache>
            </c:numRef>
          </c:val>
          <c:extLst>
            <c:ext xmlns:c16="http://schemas.microsoft.com/office/drawing/2014/chart" uri="{C3380CC4-5D6E-409C-BE32-E72D297353CC}">
              <c16:uniqueId val="{00000002-9A6E-4404-90B8-A4A2966FBD82}"/>
            </c:ext>
          </c:extLst>
        </c:ser>
        <c:dLbls>
          <c:showLegendKey val="0"/>
          <c:showVal val="0"/>
          <c:showCatName val="0"/>
          <c:showSerName val="0"/>
          <c:showPercent val="0"/>
          <c:showBubbleSize val="0"/>
        </c:dLbls>
        <c:gapWidth val="150"/>
        <c:overlap val="100"/>
        <c:axId val="1477586752"/>
        <c:axId val="1338252224"/>
      </c:barChart>
      <c:catAx>
        <c:axId val="1477586752"/>
        <c:scaling>
          <c:orientation val="minMax"/>
        </c:scaling>
        <c:delete val="0"/>
        <c:axPos val="b"/>
        <c:title>
          <c:tx>
            <c:rich>
              <a:bodyPr rot="0" spcFirstLastPara="1" vertOverflow="ellipsis" vert="horz" wrap="square" anchor="ctr" anchorCtr="1"/>
              <a:lstStyle/>
              <a:p>
                <a:pPr>
                  <a:defRPr sz="700" b="0" i="0" u="none" strike="noStrike" kern="1200" baseline="0">
                    <a:solidFill>
                      <a:sysClr val="windowText" lastClr="000000"/>
                    </a:solidFill>
                    <a:latin typeface="+mn-lt"/>
                    <a:ea typeface="+mn-ea"/>
                    <a:cs typeface="+mn-cs"/>
                  </a:defRPr>
                </a:pPr>
                <a:r>
                  <a:rPr lang="en-GB" sz="700"/>
                  <a:t>Frameworks</a:t>
                </a:r>
              </a:p>
            </c:rich>
          </c:tx>
          <c:layout>
            <c:manualLayout>
              <c:xMode val="edge"/>
              <c:yMode val="edge"/>
              <c:x val="0.53933528696192568"/>
              <c:y val="0.94586497298524708"/>
            </c:manualLayout>
          </c:layout>
          <c:overlay val="0"/>
          <c:spPr>
            <a:noFill/>
            <a:ln>
              <a:noFill/>
            </a:ln>
            <a:effectLst/>
          </c:spPr>
          <c:txPr>
            <a:bodyPr rot="0" spcFirstLastPara="1" vertOverflow="ellipsis" vert="horz" wrap="square" anchor="ctr" anchorCtr="1"/>
            <a:lstStyle/>
            <a:p>
              <a:pPr>
                <a:defRPr sz="700" b="0"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ysClr val="windowText" lastClr="000000"/>
                </a:solidFill>
                <a:latin typeface="+mn-lt"/>
                <a:ea typeface="+mn-ea"/>
                <a:cs typeface="+mn-cs"/>
              </a:defRPr>
            </a:pPr>
            <a:endParaRPr lang="en-US"/>
          </a:p>
        </c:txPr>
        <c:crossAx val="1338252224"/>
        <c:crosses val="autoZero"/>
        <c:auto val="1"/>
        <c:lblAlgn val="ctr"/>
        <c:lblOffset val="100"/>
        <c:noMultiLvlLbl val="0"/>
      </c:catAx>
      <c:valAx>
        <c:axId val="1338252224"/>
        <c:scaling>
          <c:orientation val="minMax"/>
          <c:max val="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700" b="0" i="0" u="none" strike="noStrike" kern="1200" baseline="0">
                    <a:solidFill>
                      <a:sysClr val="windowText" lastClr="000000"/>
                    </a:solidFill>
                    <a:latin typeface="+mn-lt"/>
                    <a:ea typeface="+mn-ea"/>
                    <a:cs typeface="+mn-cs"/>
                  </a:defRPr>
                </a:pPr>
                <a:r>
                  <a:rPr lang="en-US" sz="700"/>
                  <a:t>Orientation</a:t>
                </a:r>
              </a:p>
            </c:rich>
          </c:tx>
          <c:overlay val="0"/>
          <c:spPr>
            <a:noFill/>
            <a:ln>
              <a:noFill/>
            </a:ln>
            <a:effectLst/>
          </c:spPr>
          <c:txPr>
            <a:bodyPr rot="-5400000" spcFirstLastPara="1" vertOverflow="ellipsis" vert="horz" wrap="square" anchor="ctr" anchorCtr="1"/>
            <a:lstStyle/>
            <a:p>
              <a:pPr>
                <a:defRPr sz="700" b="0"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600" b="0" i="0" u="none" strike="noStrike" kern="1200" baseline="0">
                <a:solidFill>
                  <a:sysClr val="windowText" lastClr="000000"/>
                </a:solidFill>
                <a:latin typeface="+mn-lt"/>
                <a:ea typeface="+mn-ea"/>
                <a:cs typeface="+mn-cs"/>
              </a:defRPr>
            </a:pPr>
            <a:endParaRPr lang="en-US"/>
          </a:p>
        </c:txPr>
        <c:crossAx val="1477586752"/>
        <c:crosses val="autoZero"/>
        <c:crossBetween val="between"/>
        <c:majorUnit val="1"/>
      </c:valAx>
      <c:spPr>
        <a:noFill/>
        <a:ln>
          <a:noFill/>
        </a:ln>
        <a:effectLst/>
      </c:spPr>
    </c:plotArea>
    <c:legend>
      <c:legendPos val="b"/>
      <c:layout>
        <c:manualLayout>
          <c:xMode val="edge"/>
          <c:yMode val="edge"/>
          <c:x val="0.43140657150476514"/>
          <c:y val="7.0261114267932995E-2"/>
          <c:w val="6.1206553726238781E-2"/>
          <c:h val="0.11494259782412694"/>
        </c:manualLayout>
      </c:layout>
      <c:overlay val="0"/>
      <c:spPr>
        <a:noFill/>
        <a:ln>
          <a:noFill/>
        </a:ln>
        <a:effectLst/>
      </c:spPr>
      <c:txPr>
        <a:bodyPr rot="0" spcFirstLastPara="1" vertOverflow="ellipsis" vert="horz" wrap="square" anchor="ctr" anchorCtr="1"/>
        <a:lstStyle/>
        <a:p>
          <a:pPr>
            <a:defRPr sz="7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600">
          <a:solidFill>
            <a:sysClr val="windowText" lastClr="000000"/>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12</xdr:col>
      <xdr:colOff>261257</xdr:colOff>
      <xdr:row>1</xdr:row>
      <xdr:rowOff>272142</xdr:rowOff>
    </xdr:from>
    <xdr:to>
      <xdr:col>29</xdr:col>
      <xdr:colOff>413658</xdr:colOff>
      <xdr:row>11</xdr:row>
      <xdr:rowOff>185056</xdr:rowOff>
    </xdr:to>
    <xdr:graphicFrame macro="">
      <xdr:nvGraphicFramePr>
        <xdr:cNvPr id="2" name="Chart 1">
          <a:extLst>
            <a:ext uri="{FF2B5EF4-FFF2-40B4-BE49-F238E27FC236}">
              <a16:creationId xmlns:a16="http://schemas.microsoft.com/office/drawing/2014/main" id="{C70F3D34-46BA-A774-4A60-BB82B09EC3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533400</xdr:colOff>
      <xdr:row>4</xdr:row>
      <xdr:rowOff>148590</xdr:rowOff>
    </xdr:from>
    <xdr:to>
      <xdr:col>17</xdr:col>
      <xdr:colOff>426720</xdr:colOff>
      <xdr:row>19</xdr:row>
      <xdr:rowOff>110490</xdr:rowOff>
    </xdr:to>
    <xdr:graphicFrame macro="">
      <xdr:nvGraphicFramePr>
        <xdr:cNvPr id="2" name="Chart 1">
          <a:extLst>
            <a:ext uri="{FF2B5EF4-FFF2-40B4-BE49-F238E27FC236}">
              <a16:creationId xmlns:a16="http://schemas.microsoft.com/office/drawing/2014/main" id="{E3C6D36E-BF81-79DD-C9CA-A13FF34C2B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C82D04-34D0-4724-A02E-C158B0BAF01A}">
  <dimension ref="B1:L96"/>
  <sheetViews>
    <sheetView zoomScale="89" zoomScaleNormal="89" workbookViewId="0">
      <pane ySplit="1" topLeftCell="A5" activePane="bottomLeft" state="frozen"/>
      <selection pane="bottomLeft" activeCell="B8" sqref="B8"/>
    </sheetView>
  </sheetViews>
  <sheetFormatPr defaultRowHeight="17.399999999999999" customHeight="1"/>
  <cols>
    <col min="1" max="1" width="8.88671875" style="82"/>
    <col min="2" max="2" width="32.6640625" style="107" bestFit="1" customWidth="1"/>
    <col min="3" max="3" width="2.33203125" bestFit="1" customWidth="1"/>
    <col min="4" max="4" width="21.88671875" bestFit="1" customWidth="1"/>
    <col min="5" max="5" width="78.77734375" bestFit="1" customWidth="1"/>
    <col min="6" max="6" width="6.109375" style="92" bestFit="1" customWidth="1"/>
    <col min="7" max="7" width="48.88671875" style="94" bestFit="1" customWidth="1"/>
    <col min="8" max="8" width="19.5546875" style="82" bestFit="1" customWidth="1"/>
    <col min="9" max="9" width="18.6640625" style="82" customWidth="1"/>
    <col min="10" max="10" width="14.109375" style="82" customWidth="1"/>
    <col min="11" max="11" width="15.88671875" style="82" customWidth="1"/>
    <col min="12" max="12" width="6.77734375" style="86" bestFit="1" customWidth="1"/>
    <col min="13" max="16384" width="8.88671875" style="82"/>
  </cols>
  <sheetData>
    <row r="1" spans="2:12" ht="17.399999999999999" customHeight="1">
      <c r="C1" s="78" t="s">
        <v>2333</v>
      </c>
      <c r="D1" s="78" t="s">
        <v>2334</v>
      </c>
      <c r="E1" s="78" t="s">
        <v>2335</v>
      </c>
      <c r="F1" s="90" t="s">
        <v>2268</v>
      </c>
      <c r="G1" s="83" t="s">
        <v>2269</v>
      </c>
      <c r="H1" s="79" t="s">
        <v>0</v>
      </c>
      <c r="I1" s="80" t="s">
        <v>2337</v>
      </c>
      <c r="J1" s="80" t="s">
        <v>2338</v>
      </c>
      <c r="K1" s="80" t="s">
        <v>2336</v>
      </c>
      <c r="L1" s="81" t="s">
        <v>496</v>
      </c>
    </row>
    <row r="2" spans="2:12" ht="17.399999999999999" customHeight="1">
      <c r="C2" s="78">
        <v>1</v>
      </c>
      <c r="D2" s="79" t="s">
        <v>2261</v>
      </c>
      <c r="E2" s="78" t="s">
        <v>2262</v>
      </c>
      <c r="F2" s="90">
        <v>1985</v>
      </c>
      <c r="G2" s="83" t="s">
        <v>2277</v>
      </c>
      <c r="H2" s="78" t="s">
        <v>2261</v>
      </c>
      <c r="I2" s="78">
        <v>1</v>
      </c>
      <c r="J2" s="78">
        <v>0</v>
      </c>
      <c r="K2" s="78">
        <v>0</v>
      </c>
      <c r="L2" s="81">
        <f t="shared" ref="L2:L33" si="0">SUM(I2:K2)</f>
        <v>1</v>
      </c>
    </row>
    <row r="3" spans="2:12" ht="17.399999999999999" customHeight="1">
      <c r="C3" s="78">
        <v>1</v>
      </c>
      <c r="D3" s="79" t="s">
        <v>76</v>
      </c>
      <c r="E3" s="79" t="s">
        <v>77</v>
      </c>
      <c r="F3" s="90">
        <v>2002</v>
      </c>
      <c r="G3" s="83" t="s">
        <v>2326</v>
      </c>
      <c r="H3" s="79" t="s">
        <v>76</v>
      </c>
      <c r="I3" s="79">
        <v>1</v>
      </c>
      <c r="J3" s="79">
        <v>0</v>
      </c>
      <c r="K3" s="79">
        <v>0</v>
      </c>
      <c r="L3" s="81">
        <f t="shared" si="0"/>
        <v>1</v>
      </c>
    </row>
    <row r="4" spans="2:12" ht="17.399999999999999" customHeight="1">
      <c r="C4" s="78">
        <v>1</v>
      </c>
      <c r="D4" s="79" t="s">
        <v>100</v>
      </c>
      <c r="E4" s="78" t="s">
        <v>101</v>
      </c>
      <c r="F4" s="90">
        <v>2002</v>
      </c>
      <c r="G4" s="83" t="s">
        <v>2273</v>
      </c>
      <c r="H4" s="79" t="s">
        <v>100</v>
      </c>
      <c r="I4" s="79">
        <v>0</v>
      </c>
      <c r="J4" s="79">
        <v>0</v>
      </c>
      <c r="K4" s="79">
        <v>1</v>
      </c>
      <c r="L4" s="81">
        <f t="shared" si="0"/>
        <v>1</v>
      </c>
    </row>
    <row r="5" spans="2:12" ht="17.399999999999999" customHeight="1">
      <c r="C5" s="78">
        <v>1</v>
      </c>
      <c r="D5" s="79" t="s">
        <v>86</v>
      </c>
      <c r="E5" s="79" t="s">
        <v>2328</v>
      </c>
      <c r="F5" s="90">
        <v>2009</v>
      </c>
      <c r="G5" s="83" t="s">
        <v>86</v>
      </c>
      <c r="H5" s="79" t="s">
        <v>86</v>
      </c>
      <c r="I5" s="79">
        <v>1</v>
      </c>
      <c r="J5" s="79">
        <v>0</v>
      </c>
      <c r="K5" s="79">
        <v>0</v>
      </c>
      <c r="L5" s="81">
        <f t="shared" si="0"/>
        <v>1</v>
      </c>
    </row>
    <row r="6" spans="2:12" ht="17.399999999999999" customHeight="1">
      <c r="C6" s="78">
        <v>1</v>
      </c>
      <c r="D6" s="79" t="s">
        <v>90</v>
      </c>
      <c r="E6" s="79" t="s">
        <v>91</v>
      </c>
      <c r="F6" s="89">
        <v>2010</v>
      </c>
      <c r="G6" s="79" t="s">
        <v>2272</v>
      </c>
      <c r="H6" s="79" t="s">
        <v>90</v>
      </c>
      <c r="I6" s="79">
        <v>0</v>
      </c>
      <c r="J6" s="79">
        <v>1</v>
      </c>
      <c r="K6" s="79">
        <v>0</v>
      </c>
      <c r="L6" s="81">
        <f t="shared" si="0"/>
        <v>1</v>
      </c>
    </row>
    <row r="7" spans="2:12" ht="17.399999999999999" customHeight="1">
      <c r="C7" s="78">
        <v>1</v>
      </c>
      <c r="D7" s="79" t="s">
        <v>82</v>
      </c>
      <c r="E7" s="79" t="s">
        <v>83</v>
      </c>
      <c r="F7" s="89">
        <v>2013</v>
      </c>
      <c r="G7" s="79" t="s">
        <v>2304</v>
      </c>
      <c r="H7" s="79" t="s">
        <v>82</v>
      </c>
      <c r="I7" s="79">
        <v>1</v>
      </c>
      <c r="J7" s="79">
        <v>0</v>
      </c>
      <c r="K7" s="79">
        <v>0</v>
      </c>
      <c r="L7" s="81">
        <f t="shared" si="0"/>
        <v>1</v>
      </c>
    </row>
    <row r="8" spans="2:12" ht="17.399999999999999" customHeight="1">
      <c r="B8" s="78" t="s">
        <v>2346</v>
      </c>
      <c r="C8" s="78">
        <v>1</v>
      </c>
      <c r="D8" s="79" t="s">
        <v>62</v>
      </c>
      <c r="E8" s="79" t="s">
        <v>63</v>
      </c>
      <c r="F8" s="89">
        <v>2014</v>
      </c>
      <c r="G8" s="79" t="s">
        <v>2270</v>
      </c>
      <c r="H8" s="79" t="s">
        <v>62</v>
      </c>
      <c r="I8" s="79">
        <v>1</v>
      </c>
      <c r="J8" s="79">
        <v>0</v>
      </c>
      <c r="K8" s="79">
        <v>0</v>
      </c>
      <c r="L8" s="81">
        <f t="shared" si="0"/>
        <v>1</v>
      </c>
    </row>
    <row r="9" spans="2:12" ht="17.399999999999999" customHeight="1">
      <c r="C9" s="78">
        <v>1</v>
      </c>
      <c r="D9" s="79" t="s">
        <v>102</v>
      </c>
      <c r="E9" s="79" t="s">
        <v>103</v>
      </c>
      <c r="F9" s="92">
        <v>2015</v>
      </c>
      <c r="G9" s="94" t="s">
        <v>2289</v>
      </c>
      <c r="H9" s="79" t="s">
        <v>102</v>
      </c>
      <c r="I9" s="79">
        <v>0</v>
      </c>
      <c r="J9" s="79">
        <v>0</v>
      </c>
      <c r="K9" s="79">
        <v>1</v>
      </c>
      <c r="L9" s="81">
        <f t="shared" si="0"/>
        <v>1</v>
      </c>
    </row>
    <row r="10" spans="2:12" ht="17.399999999999999" customHeight="1">
      <c r="C10" s="78">
        <v>1</v>
      </c>
      <c r="D10" s="79" t="s">
        <v>104</v>
      </c>
      <c r="E10" s="79" t="s">
        <v>2286</v>
      </c>
      <c r="F10" s="89">
        <v>2016</v>
      </c>
      <c r="G10" s="79" t="s">
        <v>2287</v>
      </c>
      <c r="H10" s="79" t="s">
        <v>104</v>
      </c>
      <c r="I10" s="79">
        <v>0</v>
      </c>
      <c r="J10" s="79">
        <v>0</v>
      </c>
      <c r="K10" s="79">
        <v>1</v>
      </c>
      <c r="L10" s="81">
        <f t="shared" si="0"/>
        <v>1</v>
      </c>
    </row>
    <row r="11" spans="2:12" ht="17.399999999999999" customHeight="1">
      <c r="C11" s="78">
        <v>1</v>
      </c>
      <c r="D11" s="79" t="s">
        <v>115</v>
      </c>
      <c r="E11" s="79" t="s">
        <v>116</v>
      </c>
      <c r="F11" s="89">
        <v>2017</v>
      </c>
      <c r="G11" s="79" t="s">
        <v>2293</v>
      </c>
      <c r="H11" s="79" t="s">
        <v>115</v>
      </c>
      <c r="I11" s="79">
        <v>0</v>
      </c>
      <c r="J11" s="79">
        <v>0</v>
      </c>
      <c r="K11" s="79">
        <v>1</v>
      </c>
      <c r="L11" s="81">
        <f t="shared" si="0"/>
        <v>1</v>
      </c>
    </row>
    <row r="12" spans="2:12" ht="17.399999999999999" customHeight="1">
      <c r="C12" s="96">
        <v>1</v>
      </c>
      <c r="D12" s="97" t="s">
        <v>84</v>
      </c>
      <c r="E12" s="96" t="s">
        <v>85</v>
      </c>
      <c r="F12" s="98">
        <v>2019</v>
      </c>
      <c r="G12" s="99" t="s">
        <v>2307</v>
      </c>
      <c r="H12" s="97" t="s">
        <v>84</v>
      </c>
      <c r="I12" s="97">
        <v>1</v>
      </c>
      <c r="J12" s="97">
        <v>0</v>
      </c>
      <c r="K12" s="97">
        <v>0</v>
      </c>
      <c r="L12" s="100">
        <f t="shared" si="0"/>
        <v>1</v>
      </c>
    </row>
    <row r="13" spans="2:12" ht="17.399999999999999" customHeight="1">
      <c r="C13" s="78">
        <v>1</v>
      </c>
      <c r="D13" s="79" t="s">
        <v>113</v>
      </c>
      <c r="E13" s="79" t="s">
        <v>114</v>
      </c>
      <c r="F13" s="89">
        <v>2019</v>
      </c>
      <c r="G13" s="79" t="s">
        <v>2279</v>
      </c>
      <c r="H13" s="79" t="s">
        <v>113</v>
      </c>
      <c r="I13" s="79">
        <v>0</v>
      </c>
      <c r="J13" s="79">
        <v>0</v>
      </c>
      <c r="K13" s="79">
        <v>1</v>
      </c>
      <c r="L13" s="81">
        <f t="shared" si="0"/>
        <v>1</v>
      </c>
    </row>
    <row r="14" spans="2:12" ht="17.399999999999999" customHeight="1">
      <c r="C14" s="78">
        <v>1</v>
      </c>
      <c r="D14" s="79" t="s">
        <v>66</v>
      </c>
      <c r="E14" s="79" t="s">
        <v>2282</v>
      </c>
      <c r="F14" s="89">
        <v>2020</v>
      </c>
      <c r="G14" s="79" t="s">
        <v>2279</v>
      </c>
      <c r="H14" s="79" t="s">
        <v>66</v>
      </c>
      <c r="I14" s="79">
        <v>1</v>
      </c>
      <c r="J14" s="79">
        <v>0</v>
      </c>
      <c r="K14" s="79">
        <v>0</v>
      </c>
      <c r="L14" s="81">
        <f t="shared" si="0"/>
        <v>1</v>
      </c>
    </row>
    <row r="15" spans="2:12" ht="17.399999999999999" customHeight="1">
      <c r="C15" s="78">
        <v>1</v>
      </c>
      <c r="D15" s="79" t="s">
        <v>70</v>
      </c>
      <c r="E15" s="78" t="s">
        <v>2265</v>
      </c>
      <c r="F15" s="89">
        <v>2020</v>
      </c>
      <c r="G15" s="79" t="s">
        <v>2299</v>
      </c>
      <c r="H15" s="79" t="s">
        <v>70</v>
      </c>
      <c r="I15" s="79">
        <v>1</v>
      </c>
      <c r="J15" s="79">
        <v>0</v>
      </c>
      <c r="K15" s="79">
        <v>0</v>
      </c>
      <c r="L15" s="81">
        <f t="shared" si="0"/>
        <v>1</v>
      </c>
    </row>
    <row r="16" spans="2:12" ht="17.399999999999999" customHeight="1">
      <c r="C16" s="78">
        <v>1</v>
      </c>
      <c r="D16" s="79" t="s">
        <v>72</v>
      </c>
      <c r="E16" s="79" t="s">
        <v>73</v>
      </c>
      <c r="F16" s="90">
        <v>2020</v>
      </c>
      <c r="G16" s="83" t="s">
        <v>2323</v>
      </c>
      <c r="H16" s="79" t="s">
        <v>72</v>
      </c>
      <c r="I16" s="79">
        <v>1</v>
      </c>
      <c r="J16" s="79">
        <v>0</v>
      </c>
      <c r="K16" s="79">
        <v>0</v>
      </c>
      <c r="L16" s="81">
        <f t="shared" si="0"/>
        <v>1</v>
      </c>
    </row>
    <row r="17" spans="3:12" ht="17.399999999999999" customHeight="1">
      <c r="C17" s="78">
        <v>1</v>
      </c>
      <c r="D17" s="79" t="s">
        <v>94</v>
      </c>
      <c r="E17" s="79" t="s">
        <v>95</v>
      </c>
      <c r="F17" s="89">
        <v>2020</v>
      </c>
      <c r="G17" s="79" t="s">
        <v>2281</v>
      </c>
      <c r="H17" s="79" t="s">
        <v>94</v>
      </c>
      <c r="I17" s="79">
        <v>0</v>
      </c>
      <c r="J17" s="79">
        <v>1</v>
      </c>
      <c r="K17" s="79">
        <v>0</v>
      </c>
      <c r="L17" s="81">
        <f t="shared" si="0"/>
        <v>1</v>
      </c>
    </row>
    <row r="18" spans="3:12" ht="17.399999999999999" customHeight="1">
      <c r="C18" s="78">
        <v>1</v>
      </c>
      <c r="D18" s="79" t="s">
        <v>107</v>
      </c>
      <c r="E18" s="78" t="s">
        <v>108</v>
      </c>
      <c r="F18" s="90">
        <v>2020</v>
      </c>
      <c r="G18" s="83" t="s">
        <v>2285</v>
      </c>
      <c r="H18" s="79" t="s">
        <v>107</v>
      </c>
      <c r="I18" s="79">
        <v>0</v>
      </c>
      <c r="J18" s="79">
        <v>0</v>
      </c>
      <c r="K18" s="79">
        <v>1</v>
      </c>
      <c r="L18" s="81">
        <f t="shared" si="0"/>
        <v>1</v>
      </c>
    </row>
    <row r="19" spans="3:12" ht="17.399999999999999" customHeight="1">
      <c r="C19" s="78">
        <v>1</v>
      </c>
      <c r="D19" s="79" t="s">
        <v>111</v>
      </c>
      <c r="E19" s="79" t="s">
        <v>112</v>
      </c>
      <c r="F19" s="89">
        <v>2020</v>
      </c>
      <c r="G19" s="79" t="s">
        <v>2279</v>
      </c>
      <c r="H19" s="79" t="s">
        <v>111</v>
      </c>
      <c r="I19" s="79">
        <v>0</v>
      </c>
      <c r="J19" s="79">
        <v>0</v>
      </c>
      <c r="K19" s="79">
        <v>1</v>
      </c>
      <c r="L19" s="81">
        <f t="shared" si="0"/>
        <v>1</v>
      </c>
    </row>
    <row r="20" spans="3:12" ht="17.399999999999999" customHeight="1">
      <c r="C20" s="78">
        <v>1</v>
      </c>
      <c r="D20" s="79" t="s">
        <v>78</v>
      </c>
      <c r="E20" s="79" t="s">
        <v>79</v>
      </c>
      <c r="F20" s="90">
        <v>2021</v>
      </c>
      <c r="G20" s="83" t="s">
        <v>2327</v>
      </c>
      <c r="H20" s="79" t="s">
        <v>78</v>
      </c>
      <c r="I20" s="79">
        <v>1</v>
      </c>
      <c r="J20" s="79">
        <v>0</v>
      </c>
      <c r="K20" s="79">
        <v>0</v>
      </c>
      <c r="L20" s="81">
        <f t="shared" si="0"/>
        <v>1</v>
      </c>
    </row>
    <row r="21" spans="3:12" ht="17.399999999999999" customHeight="1">
      <c r="C21" s="78">
        <v>1</v>
      </c>
      <c r="D21" s="79" t="s">
        <v>120</v>
      </c>
      <c r="E21" s="78" t="s">
        <v>121</v>
      </c>
      <c r="F21" s="89">
        <v>2021</v>
      </c>
      <c r="G21" s="79" t="s">
        <v>2325</v>
      </c>
      <c r="H21" s="79" t="s">
        <v>120</v>
      </c>
      <c r="I21" s="79">
        <v>0</v>
      </c>
      <c r="J21" s="79">
        <v>0</v>
      </c>
      <c r="K21" s="79">
        <v>1</v>
      </c>
      <c r="L21" s="81">
        <f t="shared" si="0"/>
        <v>1</v>
      </c>
    </row>
    <row r="22" spans="3:12" ht="17.399999999999999" customHeight="1">
      <c r="C22" s="78">
        <v>1</v>
      </c>
      <c r="D22" s="79" t="s">
        <v>124</v>
      </c>
      <c r="E22" s="79" t="s">
        <v>125</v>
      </c>
      <c r="F22" s="89">
        <v>2021</v>
      </c>
      <c r="G22" s="79"/>
      <c r="H22" s="79" t="s">
        <v>124</v>
      </c>
      <c r="I22" s="79">
        <v>0</v>
      </c>
      <c r="J22" s="79">
        <v>0</v>
      </c>
      <c r="K22" s="79">
        <v>1</v>
      </c>
      <c r="L22" s="81">
        <f t="shared" si="0"/>
        <v>1</v>
      </c>
    </row>
    <row r="23" spans="3:12" ht="17.399999999999999" customHeight="1">
      <c r="C23" s="78">
        <v>1</v>
      </c>
      <c r="D23" s="79" t="s">
        <v>64</v>
      </c>
      <c r="E23" s="79" t="s">
        <v>65</v>
      </c>
      <c r="F23" s="89">
        <v>2022</v>
      </c>
      <c r="G23" s="79" t="s">
        <v>2311</v>
      </c>
      <c r="H23" s="79" t="s">
        <v>64</v>
      </c>
      <c r="I23" s="79">
        <v>1</v>
      </c>
      <c r="J23" s="79">
        <v>0</v>
      </c>
      <c r="K23" s="79">
        <v>0</v>
      </c>
      <c r="L23" s="81">
        <f t="shared" si="0"/>
        <v>1</v>
      </c>
    </row>
    <row r="24" spans="3:12" ht="17.399999999999999" customHeight="1">
      <c r="C24" s="78">
        <v>1</v>
      </c>
      <c r="D24" s="79" t="s">
        <v>68</v>
      </c>
      <c r="E24" s="79" t="s">
        <v>69</v>
      </c>
      <c r="F24" s="89">
        <v>2022</v>
      </c>
      <c r="G24" s="79" t="s">
        <v>2279</v>
      </c>
      <c r="H24" s="79" t="s">
        <v>68</v>
      </c>
      <c r="I24" s="79">
        <v>1</v>
      </c>
      <c r="J24" s="79">
        <v>0</v>
      </c>
      <c r="K24" s="79">
        <v>0</v>
      </c>
      <c r="L24" s="81">
        <f t="shared" si="0"/>
        <v>1</v>
      </c>
    </row>
    <row r="25" spans="3:12" ht="17.399999999999999" customHeight="1">
      <c r="C25" s="78">
        <v>1</v>
      </c>
      <c r="D25" s="79" t="s">
        <v>96</v>
      </c>
      <c r="E25" s="79" t="s">
        <v>2320</v>
      </c>
      <c r="F25" s="90">
        <v>2022</v>
      </c>
      <c r="G25" s="83" t="s">
        <v>2318</v>
      </c>
      <c r="H25" s="79" t="s">
        <v>96</v>
      </c>
      <c r="I25" s="79">
        <v>0</v>
      </c>
      <c r="J25" s="79">
        <v>1</v>
      </c>
      <c r="K25" s="79">
        <v>0</v>
      </c>
      <c r="L25" s="81">
        <f t="shared" si="0"/>
        <v>1</v>
      </c>
    </row>
    <row r="26" spans="3:12" ht="17.399999999999999" customHeight="1">
      <c r="C26" s="78">
        <v>1</v>
      </c>
      <c r="D26" s="79" t="s">
        <v>2322</v>
      </c>
      <c r="E26" s="79" t="s">
        <v>2319</v>
      </c>
      <c r="F26" s="90">
        <v>2022</v>
      </c>
      <c r="G26" s="83" t="s">
        <v>2318</v>
      </c>
      <c r="H26" s="79" t="s">
        <v>2322</v>
      </c>
      <c r="I26" s="79">
        <v>0</v>
      </c>
      <c r="J26" s="79">
        <v>0</v>
      </c>
      <c r="K26" s="79">
        <v>1</v>
      </c>
      <c r="L26" s="81">
        <f t="shared" si="0"/>
        <v>1</v>
      </c>
    </row>
    <row r="27" spans="3:12" ht="17.399999999999999" customHeight="1">
      <c r="C27" s="78">
        <v>1</v>
      </c>
      <c r="D27" s="79" t="s">
        <v>122</v>
      </c>
      <c r="E27" s="79" t="s">
        <v>123</v>
      </c>
      <c r="F27" s="89">
        <v>2022</v>
      </c>
      <c r="G27" s="79" t="s">
        <v>2310</v>
      </c>
      <c r="H27" s="79" t="s">
        <v>122</v>
      </c>
      <c r="I27" s="79">
        <v>0</v>
      </c>
      <c r="J27" s="79">
        <v>0</v>
      </c>
      <c r="K27" s="79">
        <v>1</v>
      </c>
      <c r="L27" s="81">
        <f t="shared" si="0"/>
        <v>1</v>
      </c>
    </row>
    <row r="28" spans="3:12" ht="17.399999999999999" customHeight="1">
      <c r="C28" s="78">
        <v>1</v>
      </c>
      <c r="D28" s="79" t="s">
        <v>80</v>
      </c>
      <c r="E28" s="79" t="s">
        <v>81</v>
      </c>
      <c r="F28" s="90">
        <v>2023</v>
      </c>
      <c r="G28" s="83"/>
      <c r="H28" s="79" t="s">
        <v>80</v>
      </c>
      <c r="I28" s="79">
        <v>1</v>
      </c>
      <c r="J28" s="79">
        <v>0</v>
      </c>
      <c r="K28" s="79">
        <v>0</v>
      </c>
      <c r="L28" s="81">
        <f t="shared" si="0"/>
        <v>1</v>
      </c>
    </row>
    <row r="29" spans="3:12" ht="17.399999999999999" customHeight="1">
      <c r="C29" s="78">
        <v>1</v>
      </c>
      <c r="D29" s="79" t="s">
        <v>2329</v>
      </c>
      <c r="E29" s="79" t="s">
        <v>99</v>
      </c>
      <c r="F29" s="89">
        <v>2023</v>
      </c>
      <c r="G29" s="79" t="s">
        <v>2279</v>
      </c>
      <c r="H29" s="79" t="s">
        <v>2329</v>
      </c>
      <c r="I29" s="79">
        <v>0</v>
      </c>
      <c r="J29" s="79">
        <v>1</v>
      </c>
      <c r="K29" s="79">
        <v>0</v>
      </c>
      <c r="L29" s="81">
        <f t="shared" si="0"/>
        <v>1</v>
      </c>
    </row>
    <row r="30" spans="3:12" ht="17.399999999999999" customHeight="1">
      <c r="C30" s="78">
        <v>1</v>
      </c>
      <c r="D30" s="79" t="s">
        <v>126</v>
      </c>
      <c r="E30" s="78" t="s">
        <v>127</v>
      </c>
      <c r="F30" s="89">
        <v>2023</v>
      </c>
      <c r="G30" s="79" t="s">
        <v>2276</v>
      </c>
      <c r="H30" s="79" t="s">
        <v>126</v>
      </c>
      <c r="I30" s="79">
        <v>0</v>
      </c>
      <c r="J30" s="79">
        <v>0</v>
      </c>
      <c r="K30" s="79">
        <v>1</v>
      </c>
      <c r="L30" s="81">
        <f t="shared" si="0"/>
        <v>1</v>
      </c>
    </row>
    <row r="31" spans="3:12" ht="17.399999999999999" customHeight="1">
      <c r="C31" s="78">
        <v>1</v>
      </c>
      <c r="D31" s="78" t="s">
        <v>74</v>
      </c>
      <c r="E31" s="78" t="s">
        <v>75</v>
      </c>
      <c r="F31" s="90">
        <v>2024</v>
      </c>
      <c r="G31" s="83" t="s">
        <v>2306</v>
      </c>
      <c r="H31" s="78" t="s">
        <v>74</v>
      </c>
      <c r="I31" s="79">
        <v>1</v>
      </c>
      <c r="J31" s="79">
        <v>0</v>
      </c>
      <c r="K31" s="79">
        <v>0</v>
      </c>
      <c r="L31" s="81">
        <f t="shared" si="0"/>
        <v>1</v>
      </c>
    </row>
    <row r="32" spans="3:12" ht="17.399999999999999" customHeight="1">
      <c r="C32" s="78">
        <v>1</v>
      </c>
      <c r="D32" s="79" t="s">
        <v>106</v>
      </c>
      <c r="E32" s="79" t="s">
        <v>2254</v>
      </c>
      <c r="F32" s="89">
        <v>2024</v>
      </c>
      <c r="G32" s="79" t="s">
        <v>2271</v>
      </c>
      <c r="H32" s="79" t="s">
        <v>106</v>
      </c>
      <c r="I32" s="79">
        <v>0</v>
      </c>
      <c r="J32" s="79">
        <v>0</v>
      </c>
      <c r="K32" s="79">
        <v>1</v>
      </c>
      <c r="L32" s="81">
        <f t="shared" si="0"/>
        <v>1</v>
      </c>
    </row>
    <row r="33" spans="3:12" ht="17.399999999999999" customHeight="1">
      <c r="C33" s="78">
        <v>1</v>
      </c>
      <c r="D33" s="79" t="s">
        <v>109</v>
      </c>
      <c r="E33" s="88" t="s">
        <v>110</v>
      </c>
      <c r="F33" s="91">
        <v>2024</v>
      </c>
      <c r="G33" s="95" t="s">
        <v>2303</v>
      </c>
      <c r="H33" s="79" t="s">
        <v>109</v>
      </c>
      <c r="I33" s="79">
        <v>0</v>
      </c>
      <c r="J33" s="79">
        <v>0</v>
      </c>
      <c r="K33" s="79">
        <v>1</v>
      </c>
      <c r="L33" s="81">
        <f t="shared" si="0"/>
        <v>1</v>
      </c>
    </row>
    <row r="34" spans="3:12" ht="17.399999999999999" customHeight="1">
      <c r="C34" s="78">
        <v>1</v>
      </c>
      <c r="D34" s="79" t="s">
        <v>22</v>
      </c>
      <c r="E34" s="79" t="s">
        <v>23</v>
      </c>
      <c r="F34" s="89">
        <v>1992</v>
      </c>
      <c r="G34" s="79" t="s">
        <v>2275</v>
      </c>
      <c r="H34" s="79" t="s">
        <v>22</v>
      </c>
      <c r="I34" s="79">
        <v>1</v>
      </c>
      <c r="J34" s="79">
        <v>1</v>
      </c>
      <c r="K34" s="79">
        <v>0</v>
      </c>
      <c r="L34" s="81">
        <f t="shared" ref="L34:L65" si="1">SUM(I34:K34)</f>
        <v>2</v>
      </c>
    </row>
    <row r="35" spans="3:12" ht="17.399999999999999" customHeight="1">
      <c r="C35" s="78">
        <v>1</v>
      </c>
      <c r="D35" s="79" t="s">
        <v>44</v>
      </c>
      <c r="E35" s="79" t="s">
        <v>45</v>
      </c>
      <c r="F35" s="90">
        <v>1998</v>
      </c>
      <c r="G35" s="83" t="s">
        <v>2280</v>
      </c>
      <c r="H35" s="79" t="s">
        <v>44</v>
      </c>
      <c r="I35" s="79">
        <v>1</v>
      </c>
      <c r="J35" s="79">
        <v>0</v>
      </c>
      <c r="K35" s="79">
        <v>1</v>
      </c>
      <c r="L35" s="81">
        <f t="shared" si="1"/>
        <v>2</v>
      </c>
    </row>
    <row r="36" spans="3:12" ht="17.399999999999999" customHeight="1">
      <c r="C36" s="78">
        <v>1</v>
      </c>
      <c r="D36" s="79" t="s">
        <v>20</v>
      </c>
      <c r="E36" s="79" t="s">
        <v>21</v>
      </c>
      <c r="F36" s="89">
        <v>2003</v>
      </c>
      <c r="G36" s="79" t="s">
        <v>2274</v>
      </c>
      <c r="H36" s="79" t="s">
        <v>20</v>
      </c>
      <c r="I36" s="79">
        <v>1</v>
      </c>
      <c r="J36" s="79">
        <v>1</v>
      </c>
      <c r="K36" s="79">
        <v>0</v>
      </c>
      <c r="L36" s="81">
        <f t="shared" si="1"/>
        <v>2</v>
      </c>
    </row>
    <row r="37" spans="3:12" ht="17.399999999999999" customHeight="1">
      <c r="C37" s="78">
        <v>1</v>
      </c>
      <c r="D37" s="79" t="s">
        <v>36</v>
      </c>
      <c r="E37" s="78" t="s">
        <v>119</v>
      </c>
      <c r="F37" s="90">
        <v>2004</v>
      </c>
      <c r="G37" s="83" t="s">
        <v>2271</v>
      </c>
      <c r="H37" s="79" t="s">
        <v>36</v>
      </c>
      <c r="I37" s="79">
        <v>1</v>
      </c>
      <c r="J37" s="79">
        <v>0</v>
      </c>
      <c r="K37" s="79">
        <v>1</v>
      </c>
      <c r="L37" s="81">
        <f t="shared" si="1"/>
        <v>2</v>
      </c>
    </row>
    <row r="38" spans="3:12" ht="17.399999999999999" customHeight="1">
      <c r="C38" s="78">
        <v>1</v>
      </c>
      <c r="D38" s="79" t="s">
        <v>60</v>
      </c>
      <c r="E38" s="78" t="s">
        <v>2267</v>
      </c>
      <c r="F38" s="89">
        <v>2004</v>
      </c>
      <c r="G38" s="79" t="s">
        <v>2332</v>
      </c>
      <c r="H38" s="79" t="s">
        <v>60</v>
      </c>
      <c r="I38" s="79">
        <v>1</v>
      </c>
      <c r="J38" s="79">
        <v>0</v>
      </c>
      <c r="K38" s="79">
        <v>1</v>
      </c>
      <c r="L38" s="81">
        <f t="shared" si="1"/>
        <v>2</v>
      </c>
    </row>
    <row r="39" spans="3:12" ht="17.399999999999999" customHeight="1">
      <c r="C39" s="78">
        <v>1</v>
      </c>
      <c r="D39" s="79" t="s">
        <v>46</v>
      </c>
      <c r="E39" s="79" t="s">
        <v>47</v>
      </c>
      <c r="F39" s="90">
        <v>2009</v>
      </c>
      <c r="G39" s="83" t="s">
        <v>2302</v>
      </c>
      <c r="H39" s="79" t="s">
        <v>46</v>
      </c>
      <c r="I39" s="79">
        <v>1</v>
      </c>
      <c r="J39" s="79">
        <v>0</v>
      </c>
      <c r="K39" s="79">
        <v>1</v>
      </c>
      <c r="L39" s="81">
        <f t="shared" si="1"/>
        <v>2</v>
      </c>
    </row>
    <row r="40" spans="3:12" ht="17.399999999999999" customHeight="1">
      <c r="C40" s="78">
        <v>1</v>
      </c>
      <c r="D40" s="79" t="s">
        <v>48</v>
      </c>
      <c r="E40" s="79" t="s">
        <v>2264</v>
      </c>
      <c r="F40" s="89">
        <v>2015</v>
      </c>
      <c r="G40" s="79" t="s">
        <v>2292</v>
      </c>
      <c r="H40" s="79" t="s">
        <v>48</v>
      </c>
      <c r="I40" s="79">
        <v>1</v>
      </c>
      <c r="J40" s="79">
        <v>0</v>
      </c>
      <c r="K40" s="79">
        <v>1</v>
      </c>
      <c r="L40" s="81">
        <f t="shared" si="1"/>
        <v>2</v>
      </c>
    </row>
    <row r="41" spans="3:12" ht="17.399999999999999" customHeight="1">
      <c r="C41" s="78">
        <v>1</v>
      </c>
      <c r="D41" s="79" t="s">
        <v>26</v>
      </c>
      <c r="E41" s="79" t="s">
        <v>27</v>
      </c>
      <c r="F41" s="89">
        <v>2017</v>
      </c>
      <c r="G41" s="79" t="s">
        <v>2279</v>
      </c>
      <c r="H41" s="79" t="s">
        <v>26</v>
      </c>
      <c r="I41" s="79">
        <v>1</v>
      </c>
      <c r="J41" s="79">
        <v>1</v>
      </c>
      <c r="K41" s="79">
        <v>0</v>
      </c>
      <c r="L41" s="81">
        <f t="shared" si="1"/>
        <v>2</v>
      </c>
    </row>
    <row r="42" spans="3:12" ht="17.399999999999999" customHeight="1">
      <c r="C42" s="78">
        <v>1</v>
      </c>
      <c r="D42" s="79" t="s">
        <v>28</v>
      </c>
      <c r="E42" s="79" t="s">
        <v>29</v>
      </c>
      <c r="F42" s="89">
        <v>2017</v>
      </c>
      <c r="G42" s="79" t="s">
        <v>2279</v>
      </c>
      <c r="H42" s="79" t="s">
        <v>28</v>
      </c>
      <c r="I42" s="79">
        <v>1</v>
      </c>
      <c r="J42" s="79">
        <v>1</v>
      </c>
      <c r="K42" s="79">
        <v>0</v>
      </c>
      <c r="L42" s="81">
        <f t="shared" si="1"/>
        <v>2</v>
      </c>
    </row>
    <row r="43" spans="3:12" ht="17.399999999999999" customHeight="1">
      <c r="C43" s="78">
        <v>1</v>
      </c>
      <c r="D43" s="79" t="s">
        <v>52</v>
      </c>
      <c r="E43" s="78" t="s">
        <v>2309</v>
      </c>
      <c r="F43" s="89">
        <v>2017</v>
      </c>
      <c r="G43" s="79" t="s">
        <v>2308</v>
      </c>
      <c r="H43" s="79" t="s">
        <v>52</v>
      </c>
      <c r="I43" s="79">
        <v>1</v>
      </c>
      <c r="J43" s="79">
        <v>0</v>
      </c>
      <c r="K43" s="79">
        <v>1</v>
      </c>
      <c r="L43" s="81">
        <f t="shared" si="1"/>
        <v>2</v>
      </c>
    </row>
    <row r="44" spans="3:12" ht="17.399999999999999" customHeight="1">
      <c r="C44" s="78">
        <v>1</v>
      </c>
      <c r="D44" s="79" t="s">
        <v>50</v>
      </c>
      <c r="E44" s="79" t="s">
        <v>55</v>
      </c>
      <c r="F44" s="90">
        <v>2018</v>
      </c>
      <c r="G44" s="83" t="s">
        <v>2295</v>
      </c>
      <c r="H44" s="79" t="s">
        <v>50</v>
      </c>
      <c r="I44" s="79">
        <v>1</v>
      </c>
      <c r="J44" s="79">
        <v>0</v>
      </c>
      <c r="K44" s="79">
        <v>1</v>
      </c>
      <c r="L44" s="81">
        <f t="shared" si="1"/>
        <v>2</v>
      </c>
    </row>
    <row r="45" spans="3:12" ht="17.399999999999999" customHeight="1">
      <c r="C45" s="78">
        <v>1</v>
      </c>
      <c r="D45" s="79" t="s">
        <v>54</v>
      </c>
      <c r="E45" s="79" t="s">
        <v>51</v>
      </c>
      <c r="F45" s="90">
        <v>2018</v>
      </c>
      <c r="G45" s="83" t="s">
        <v>2308</v>
      </c>
      <c r="H45" s="79" t="s">
        <v>54</v>
      </c>
      <c r="I45" s="79">
        <v>1</v>
      </c>
      <c r="J45" s="79">
        <v>0</v>
      </c>
      <c r="K45" s="79">
        <v>1</v>
      </c>
      <c r="L45" s="81">
        <f t="shared" si="1"/>
        <v>2</v>
      </c>
    </row>
    <row r="46" spans="3:12" ht="17.399999999999999" customHeight="1">
      <c r="C46" s="78">
        <v>1</v>
      </c>
      <c r="D46" s="79" t="s">
        <v>34</v>
      </c>
      <c r="E46" s="79" t="s">
        <v>35</v>
      </c>
      <c r="F46" s="90">
        <v>2020</v>
      </c>
      <c r="G46" s="83" t="s">
        <v>2305</v>
      </c>
      <c r="H46" s="79" t="s">
        <v>34</v>
      </c>
      <c r="I46" s="79">
        <v>1</v>
      </c>
      <c r="J46" s="79">
        <v>1</v>
      </c>
      <c r="K46" s="79">
        <v>0</v>
      </c>
      <c r="L46" s="81">
        <f t="shared" si="1"/>
        <v>2</v>
      </c>
    </row>
    <row r="47" spans="3:12" ht="17.399999999999999" customHeight="1">
      <c r="C47" s="78">
        <v>1</v>
      </c>
      <c r="D47" s="78" t="s">
        <v>56</v>
      </c>
      <c r="E47" s="78" t="s">
        <v>57</v>
      </c>
      <c r="F47" s="89">
        <v>2020</v>
      </c>
      <c r="G47" s="79" t="s">
        <v>2325</v>
      </c>
      <c r="H47" s="78" t="s">
        <v>56</v>
      </c>
      <c r="I47" s="79">
        <v>1</v>
      </c>
      <c r="J47" s="79">
        <v>0</v>
      </c>
      <c r="K47" s="79">
        <v>1</v>
      </c>
      <c r="L47" s="81">
        <f t="shared" si="1"/>
        <v>2</v>
      </c>
    </row>
    <row r="48" spans="3:12" ht="17.399999999999999" customHeight="1">
      <c r="C48" s="78">
        <v>1</v>
      </c>
      <c r="D48" s="79" t="s">
        <v>58</v>
      </c>
      <c r="E48" s="79" t="s">
        <v>2266</v>
      </c>
      <c r="F48" s="89">
        <v>2020</v>
      </c>
      <c r="G48" s="79" t="s">
        <v>2331</v>
      </c>
      <c r="H48" s="79" t="s">
        <v>58</v>
      </c>
      <c r="I48" s="79">
        <v>1</v>
      </c>
      <c r="J48" s="79">
        <v>0</v>
      </c>
      <c r="K48" s="79">
        <v>1</v>
      </c>
      <c r="L48" s="81">
        <f t="shared" si="1"/>
        <v>2</v>
      </c>
    </row>
    <row r="49" spans="3:12" ht="17.399999999999999" customHeight="1">
      <c r="C49" s="78">
        <v>1</v>
      </c>
      <c r="D49" s="79" t="s">
        <v>88</v>
      </c>
      <c r="E49" s="78" t="s">
        <v>89</v>
      </c>
      <c r="F49" s="90">
        <v>2020</v>
      </c>
      <c r="G49" s="83" t="s">
        <v>2321</v>
      </c>
      <c r="H49" s="79" t="s">
        <v>88</v>
      </c>
      <c r="I49" s="79">
        <v>0</v>
      </c>
      <c r="J49" s="79">
        <v>1</v>
      </c>
      <c r="K49" s="79">
        <v>1</v>
      </c>
      <c r="L49" s="81">
        <f t="shared" si="1"/>
        <v>2</v>
      </c>
    </row>
    <row r="50" spans="3:12" ht="17.399999999999999" customHeight="1">
      <c r="C50" s="78">
        <v>1</v>
      </c>
      <c r="D50" s="79" t="s">
        <v>24</v>
      </c>
      <c r="E50" s="78" t="s">
        <v>25</v>
      </c>
      <c r="F50" s="90">
        <v>2021</v>
      </c>
      <c r="G50" s="83" t="s">
        <v>2291</v>
      </c>
      <c r="H50" s="79" t="s">
        <v>24</v>
      </c>
      <c r="I50" s="79">
        <v>1</v>
      </c>
      <c r="J50" s="79">
        <v>1</v>
      </c>
      <c r="K50" s="79">
        <v>0</v>
      </c>
      <c r="L50" s="81">
        <f t="shared" si="1"/>
        <v>2</v>
      </c>
    </row>
    <row r="51" spans="3:12" ht="17.399999999999999" customHeight="1">
      <c r="C51" s="78">
        <v>1</v>
      </c>
      <c r="D51" s="79" t="s">
        <v>38</v>
      </c>
      <c r="E51" s="79" t="s">
        <v>2284</v>
      </c>
      <c r="F51" s="89">
        <v>2021</v>
      </c>
      <c r="G51" s="79" t="s">
        <v>2301</v>
      </c>
      <c r="H51" s="79" t="s">
        <v>38</v>
      </c>
      <c r="I51" s="79">
        <v>1</v>
      </c>
      <c r="J51" s="79">
        <v>0</v>
      </c>
      <c r="K51" s="79">
        <v>1</v>
      </c>
      <c r="L51" s="81">
        <f t="shared" si="1"/>
        <v>2</v>
      </c>
    </row>
    <row r="52" spans="3:12" ht="17.399999999999999" customHeight="1">
      <c r="C52" s="78">
        <v>1</v>
      </c>
      <c r="D52" s="79" t="s">
        <v>42</v>
      </c>
      <c r="E52" s="79" t="s">
        <v>43</v>
      </c>
      <c r="F52" s="89">
        <v>2021</v>
      </c>
      <c r="G52" s="79" t="s">
        <v>2278</v>
      </c>
      <c r="H52" s="79" t="s">
        <v>42</v>
      </c>
      <c r="I52" s="79">
        <v>1</v>
      </c>
      <c r="J52" s="79">
        <v>0</v>
      </c>
      <c r="K52" s="79">
        <v>1</v>
      </c>
      <c r="L52" s="81">
        <f t="shared" si="1"/>
        <v>2</v>
      </c>
    </row>
    <row r="53" spans="3:12" ht="17.399999999999999" customHeight="1">
      <c r="C53" s="78">
        <v>1</v>
      </c>
      <c r="D53" s="79" t="s">
        <v>2296</v>
      </c>
      <c r="E53" s="78" t="s">
        <v>2297</v>
      </c>
      <c r="F53" s="89">
        <v>2021</v>
      </c>
      <c r="G53" s="79" t="s">
        <v>2298</v>
      </c>
      <c r="H53" s="79" t="s">
        <v>2296</v>
      </c>
      <c r="I53" s="78">
        <v>1</v>
      </c>
      <c r="J53" s="78">
        <v>0</v>
      </c>
      <c r="K53" s="78">
        <v>1</v>
      </c>
      <c r="L53" s="81">
        <f t="shared" si="1"/>
        <v>2</v>
      </c>
    </row>
    <row r="54" spans="3:12" ht="17.399999999999999" customHeight="1">
      <c r="C54" s="78">
        <v>1</v>
      </c>
      <c r="D54" s="79" t="s">
        <v>2312</v>
      </c>
      <c r="E54" s="78" t="s">
        <v>2257</v>
      </c>
      <c r="F54" s="89">
        <v>2022</v>
      </c>
      <c r="G54" s="79" t="s">
        <v>2313</v>
      </c>
      <c r="H54" s="79" t="s">
        <v>2312</v>
      </c>
      <c r="I54" s="78">
        <v>0</v>
      </c>
      <c r="J54" s="78">
        <v>1</v>
      </c>
      <c r="K54" s="78">
        <v>1</v>
      </c>
      <c r="L54" s="81">
        <f t="shared" si="1"/>
        <v>2</v>
      </c>
    </row>
    <row r="55" spans="3:12" ht="17.399999999999999" customHeight="1">
      <c r="C55" s="78">
        <v>1</v>
      </c>
      <c r="D55" s="79" t="s">
        <v>30</v>
      </c>
      <c r="E55" s="79" t="s">
        <v>31</v>
      </c>
      <c r="F55" s="89">
        <v>2023</v>
      </c>
      <c r="G55" s="79" t="s">
        <v>2317</v>
      </c>
      <c r="H55" s="79" t="s">
        <v>30</v>
      </c>
      <c r="I55" s="79">
        <v>1</v>
      </c>
      <c r="J55" s="79">
        <v>1</v>
      </c>
      <c r="K55" s="79">
        <v>0</v>
      </c>
      <c r="L55" s="81">
        <f t="shared" si="1"/>
        <v>2</v>
      </c>
    </row>
    <row r="56" spans="3:12" ht="17.399999999999999" customHeight="1">
      <c r="C56" s="78">
        <v>1</v>
      </c>
      <c r="D56" s="79" t="s">
        <v>2259</v>
      </c>
      <c r="E56" s="78" t="s">
        <v>2260</v>
      </c>
      <c r="F56" s="90">
        <v>2023</v>
      </c>
      <c r="G56" s="83" t="s">
        <v>2314</v>
      </c>
      <c r="H56" s="79" t="s">
        <v>2259</v>
      </c>
      <c r="I56" s="78">
        <v>0</v>
      </c>
      <c r="J56" s="78">
        <v>1</v>
      </c>
      <c r="K56" s="78">
        <v>1</v>
      </c>
      <c r="L56" s="81">
        <f t="shared" si="1"/>
        <v>2</v>
      </c>
    </row>
    <row r="57" spans="3:12" ht="17.399999999999999" customHeight="1">
      <c r="C57" s="78">
        <v>1</v>
      </c>
      <c r="D57" s="79" t="s">
        <v>32</v>
      </c>
      <c r="E57" s="78" t="s">
        <v>33</v>
      </c>
      <c r="F57" s="89">
        <v>2024</v>
      </c>
      <c r="G57" s="79" t="s">
        <v>2294</v>
      </c>
      <c r="H57" s="79" t="s">
        <v>32</v>
      </c>
      <c r="I57" s="79">
        <v>1</v>
      </c>
      <c r="J57" s="79">
        <v>1</v>
      </c>
      <c r="K57" s="79">
        <v>0</v>
      </c>
      <c r="L57" s="81">
        <f t="shared" si="1"/>
        <v>2</v>
      </c>
    </row>
    <row r="58" spans="3:12" ht="17.399999999999999" customHeight="1">
      <c r="C58" s="78">
        <v>1</v>
      </c>
      <c r="D58" s="79" t="s">
        <v>40</v>
      </c>
      <c r="E58" s="93" t="s">
        <v>2283</v>
      </c>
      <c r="F58" s="89">
        <v>2024</v>
      </c>
      <c r="G58" s="79" t="s">
        <v>2315</v>
      </c>
      <c r="H58" s="79" t="s">
        <v>40</v>
      </c>
      <c r="I58" s="79">
        <v>1</v>
      </c>
      <c r="J58" s="79">
        <v>0</v>
      </c>
      <c r="K58" s="79">
        <v>1</v>
      </c>
      <c r="L58" s="81">
        <f t="shared" si="1"/>
        <v>2</v>
      </c>
    </row>
    <row r="59" spans="3:12" ht="17.399999999999999" customHeight="1">
      <c r="C59" s="78">
        <v>1</v>
      </c>
      <c r="D59" s="79" t="s">
        <v>12</v>
      </c>
      <c r="E59" s="79" t="s">
        <v>13</v>
      </c>
      <c r="F59" s="89">
        <v>2002</v>
      </c>
      <c r="G59" s="79" t="s">
        <v>2310</v>
      </c>
      <c r="H59" s="79" t="s">
        <v>12</v>
      </c>
      <c r="I59" s="79">
        <v>1</v>
      </c>
      <c r="J59" s="79">
        <v>1</v>
      </c>
      <c r="K59" s="79">
        <v>1</v>
      </c>
      <c r="L59" s="81">
        <f t="shared" si="1"/>
        <v>3</v>
      </c>
    </row>
    <row r="60" spans="3:12" ht="17.399999999999999" customHeight="1">
      <c r="C60" s="78">
        <v>1</v>
      </c>
      <c r="D60" s="79" t="s">
        <v>10</v>
      </c>
      <c r="E60" s="79" t="s">
        <v>11</v>
      </c>
      <c r="F60" s="90">
        <v>2005</v>
      </c>
      <c r="G60" s="83" t="s">
        <v>2324</v>
      </c>
      <c r="H60" s="79" t="s">
        <v>10</v>
      </c>
      <c r="I60" s="79">
        <v>1</v>
      </c>
      <c r="J60" s="79">
        <v>1</v>
      </c>
      <c r="K60" s="79">
        <v>1</v>
      </c>
      <c r="L60" s="81">
        <f t="shared" si="1"/>
        <v>3</v>
      </c>
    </row>
    <row r="61" spans="3:12" ht="17.399999999999999" customHeight="1">
      <c r="C61" s="78">
        <v>1</v>
      </c>
      <c r="D61" s="79" t="s">
        <v>2</v>
      </c>
      <c r="E61" s="79" t="s">
        <v>3</v>
      </c>
      <c r="F61" s="89">
        <v>2009</v>
      </c>
      <c r="G61" s="79" t="s">
        <v>2290</v>
      </c>
      <c r="H61" s="79" t="s">
        <v>2</v>
      </c>
      <c r="I61" s="79">
        <v>1</v>
      </c>
      <c r="J61" s="79">
        <v>1</v>
      </c>
      <c r="K61" s="79">
        <v>1</v>
      </c>
      <c r="L61" s="81">
        <f t="shared" si="1"/>
        <v>3</v>
      </c>
    </row>
    <row r="62" spans="3:12" ht="17.399999999999999" customHeight="1">
      <c r="C62" s="78">
        <v>1</v>
      </c>
      <c r="D62" s="79" t="s">
        <v>4</v>
      </c>
      <c r="E62" s="79" t="s">
        <v>5</v>
      </c>
      <c r="F62" s="89">
        <v>2018</v>
      </c>
      <c r="G62" s="94" t="s">
        <v>2288</v>
      </c>
      <c r="H62" s="79" t="s">
        <v>4</v>
      </c>
      <c r="I62" s="79">
        <v>1</v>
      </c>
      <c r="J62" s="79">
        <v>1</v>
      </c>
      <c r="K62" s="79">
        <v>1</v>
      </c>
      <c r="L62" s="81">
        <f t="shared" si="1"/>
        <v>3</v>
      </c>
    </row>
    <row r="63" spans="3:12" ht="17.399999999999999" customHeight="1">
      <c r="C63" s="78">
        <v>1</v>
      </c>
      <c r="D63" s="79" t="s">
        <v>16</v>
      </c>
      <c r="E63" s="79" t="s">
        <v>17</v>
      </c>
      <c r="F63" s="90">
        <v>2018</v>
      </c>
      <c r="G63" s="83" t="s">
        <v>2300</v>
      </c>
      <c r="H63" s="79" t="s">
        <v>16</v>
      </c>
      <c r="I63" s="79">
        <v>1</v>
      </c>
      <c r="J63" s="79">
        <v>1</v>
      </c>
      <c r="K63" s="79">
        <v>1</v>
      </c>
      <c r="L63" s="81">
        <f t="shared" si="1"/>
        <v>3</v>
      </c>
    </row>
    <row r="64" spans="3:12" ht="17.399999999999999" customHeight="1">
      <c r="C64" s="78">
        <v>1</v>
      </c>
      <c r="D64" s="79" t="s">
        <v>6</v>
      </c>
      <c r="E64" s="78" t="s">
        <v>7</v>
      </c>
      <c r="F64" s="90">
        <v>2022</v>
      </c>
      <c r="G64" s="83" t="s">
        <v>2316</v>
      </c>
      <c r="H64" s="79" t="s">
        <v>6</v>
      </c>
      <c r="I64" s="79">
        <v>1</v>
      </c>
      <c r="J64" s="79">
        <v>1</v>
      </c>
      <c r="K64" s="79">
        <v>1</v>
      </c>
      <c r="L64" s="81">
        <f t="shared" si="1"/>
        <v>3</v>
      </c>
    </row>
    <row r="65" spans="3:12" ht="17.399999999999999" customHeight="1">
      <c r="C65" s="78">
        <v>1</v>
      </c>
      <c r="D65" s="79" t="s">
        <v>8</v>
      </c>
      <c r="E65" s="78" t="s">
        <v>2258</v>
      </c>
      <c r="F65" s="90">
        <v>2022</v>
      </c>
      <c r="G65" s="83" t="s">
        <v>2303</v>
      </c>
      <c r="H65" s="79" t="s">
        <v>8</v>
      </c>
      <c r="I65" s="79">
        <v>1</v>
      </c>
      <c r="J65" s="79">
        <v>1</v>
      </c>
      <c r="K65" s="79">
        <v>1</v>
      </c>
      <c r="L65" s="81">
        <f t="shared" si="1"/>
        <v>3</v>
      </c>
    </row>
    <row r="66" spans="3:12" ht="17.399999999999999" customHeight="1">
      <c r="C66" s="78">
        <v>1</v>
      </c>
      <c r="D66" s="84" t="s">
        <v>18</v>
      </c>
      <c r="E66" s="79" t="s">
        <v>19</v>
      </c>
      <c r="F66" s="90">
        <v>2023</v>
      </c>
      <c r="G66" s="83" t="s">
        <v>2330</v>
      </c>
      <c r="H66" s="84" t="s">
        <v>18</v>
      </c>
      <c r="I66" s="79">
        <v>1</v>
      </c>
      <c r="J66" s="79">
        <v>1</v>
      </c>
      <c r="K66" s="79">
        <v>1</v>
      </c>
      <c r="L66" s="81">
        <f t="shared" ref="L66:L89" si="2">SUM(I66:K66)</f>
        <v>3</v>
      </c>
    </row>
    <row r="67" spans="3:12" ht="17.399999999999999" customHeight="1">
      <c r="C67" s="78">
        <v>1</v>
      </c>
      <c r="D67" s="79" t="s">
        <v>14</v>
      </c>
      <c r="E67" s="79" t="s">
        <v>15</v>
      </c>
      <c r="F67" s="89">
        <v>2024</v>
      </c>
      <c r="G67" s="79"/>
      <c r="H67" s="79" t="s">
        <v>14</v>
      </c>
      <c r="I67" s="79">
        <v>1</v>
      </c>
      <c r="J67" s="79">
        <v>1</v>
      </c>
      <c r="K67" s="79">
        <v>1</v>
      </c>
      <c r="L67" s="81">
        <f t="shared" si="2"/>
        <v>3</v>
      </c>
    </row>
    <row r="68" spans="3:12" ht="17.399999999999999" customHeight="1">
      <c r="C68" s="78" t="s">
        <v>1794</v>
      </c>
      <c r="D68" s="79" t="s">
        <v>92</v>
      </c>
      <c r="E68" s="79" t="s">
        <v>93</v>
      </c>
      <c r="F68" s="89">
        <v>2016</v>
      </c>
      <c r="G68" s="79" t="s">
        <v>2287</v>
      </c>
      <c r="H68" s="79" t="s">
        <v>92</v>
      </c>
      <c r="I68" s="79">
        <v>0</v>
      </c>
      <c r="J68" s="79">
        <v>1</v>
      </c>
      <c r="K68" s="79">
        <v>0</v>
      </c>
      <c r="L68" s="81">
        <f t="shared" si="2"/>
        <v>1</v>
      </c>
    </row>
    <row r="69" spans="3:12" ht="17.399999999999999" customHeight="1">
      <c r="C69" s="78" t="s">
        <v>1794</v>
      </c>
      <c r="D69" s="79" t="s">
        <v>118</v>
      </c>
      <c r="E69" s="78" t="s">
        <v>37</v>
      </c>
      <c r="H69" s="79" t="s">
        <v>118</v>
      </c>
      <c r="I69" s="79">
        <v>0</v>
      </c>
      <c r="J69" s="79">
        <v>0</v>
      </c>
      <c r="K69" s="79">
        <v>1</v>
      </c>
      <c r="L69" s="81">
        <f t="shared" si="2"/>
        <v>1</v>
      </c>
    </row>
    <row r="70" spans="3:12" ht="17.399999999999999" customHeight="1">
      <c r="C70" s="78" t="s">
        <v>1794</v>
      </c>
      <c r="D70" s="79" t="s">
        <v>28</v>
      </c>
      <c r="E70" s="79" t="s">
        <v>29</v>
      </c>
      <c r="F70" s="89"/>
      <c r="G70" s="79"/>
      <c r="H70" s="79" t="s">
        <v>28</v>
      </c>
      <c r="I70" s="79">
        <v>1</v>
      </c>
      <c r="J70" s="79">
        <v>1</v>
      </c>
      <c r="K70" s="79">
        <v>0</v>
      </c>
      <c r="L70" s="81">
        <f t="shared" si="2"/>
        <v>2</v>
      </c>
    </row>
    <row r="71" spans="3:12" ht="17.399999999999999" customHeight="1">
      <c r="C71" s="78" t="s">
        <v>1794</v>
      </c>
      <c r="D71" s="78" t="s">
        <v>162</v>
      </c>
      <c r="E71" s="78" t="s">
        <v>163</v>
      </c>
      <c r="F71" s="90"/>
      <c r="G71" s="83"/>
      <c r="H71" s="78" t="s">
        <v>162</v>
      </c>
      <c r="I71" s="83">
        <v>0</v>
      </c>
      <c r="J71" s="83">
        <v>1</v>
      </c>
      <c r="K71" s="83">
        <v>1</v>
      </c>
      <c r="L71" s="81">
        <f t="shared" si="2"/>
        <v>2</v>
      </c>
    </row>
    <row r="72" spans="3:12" ht="17.399999999999999" customHeight="1">
      <c r="C72" s="78" t="s">
        <v>1794</v>
      </c>
      <c r="D72" s="78" t="s">
        <v>146</v>
      </c>
      <c r="E72" s="78"/>
      <c r="F72" s="90"/>
      <c r="G72" s="83"/>
      <c r="H72" s="78" t="s">
        <v>146</v>
      </c>
      <c r="I72" s="83">
        <v>0</v>
      </c>
      <c r="J72" s="83">
        <v>1</v>
      </c>
      <c r="K72" s="83">
        <v>1</v>
      </c>
      <c r="L72" s="81">
        <f t="shared" si="2"/>
        <v>2</v>
      </c>
    </row>
    <row r="73" spans="3:12" ht="17.399999999999999" customHeight="1">
      <c r="C73" s="78" t="s">
        <v>1794</v>
      </c>
      <c r="D73" s="78" t="s">
        <v>150</v>
      </c>
      <c r="E73" s="78" t="s">
        <v>151</v>
      </c>
      <c r="F73" s="90"/>
      <c r="G73" s="83"/>
      <c r="H73" s="78" t="s">
        <v>150</v>
      </c>
      <c r="I73" s="83">
        <v>0</v>
      </c>
      <c r="J73" s="83">
        <v>1</v>
      </c>
      <c r="K73" s="83">
        <v>1</v>
      </c>
      <c r="L73" s="81">
        <f t="shared" si="2"/>
        <v>2</v>
      </c>
    </row>
    <row r="74" spans="3:12" ht="17.399999999999999" customHeight="1">
      <c r="C74" s="78" t="s">
        <v>1794</v>
      </c>
      <c r="D74" s="78" t="s">
        <v>142</v>
      </c>
      <c r="E74" s="78"/>
      <c r="F74" s="90"/>
      <c r="G74" s="83"/>
      <c r="H74" s="78" t="s">
        <v>142</v>
      </c>
      <c r="I74" s="83">
        <v>0</v>
      </c>
      <c r="J74" s="83">
        <v>1</v>
      </c>
      <c r="K74" s="83">
        <v>1</v>
      </c>
      <c r="L74" s="81">
        <f t="shared" si="2"/>
        <v>2</v>
      </c>
    </row>
    <row r="75" spans="3:12" ht="17.399999999999999" customHeight="1">
      <c r="C75" s="78" t="s">
        <v>1794</v>
      </c>
      <c r="D75" s="78" t="s">
        <v>160</v>
      </c>
      <c r="E75" s="78" t="s">
        <v>161</v>
      </c>
      <c r="H75" s="78" t="s">
        <v>160</v>
      </c>
      <c r="I75" s="83">
        <v>0</v>
      </c>
      <c r="J75" s="83">
        <v>1</v>
      </c>
      <c r="K75" s="83">
        <v>1</v>
      </c>
      <c r="L75" s="81">
        <f t="shared" si="2"/>
        <v>2</v>
      </c>
    </row>
    <row r="76" spans="3:12" ht="17.399999999999999" customHeight="1">
      <c r="C76" s="78" t="s">
        <v>1794</v>
      </c>
      <c r="D76" s="78" t="s">
        <v>158</v>
      </c>
      <c r="E76" s="79" t="s">
        <v>117</v>
      </c>
      <c r="F76" s="89"/>
      <c r="G76" s="79"/>
      <c r="H76" s="78" t="s">
        <v>158</v>
      </c>
      <c r="I76" s="83">
        <v>0</v>
      </c>
      <c r="J76" s="83">
        <v>1</v>
      </c>
      <c r="K76" s="83">
        <v>1</v>
      </c>
      <c r="L76" s="81">
        <f t="shared" si="2"/>
        <v>2</v>
      </c>
    </row>
    <row r="77" spans="3:12" ht="17.399999999999999" customHeight="1">
      <c r="C77" s="78" t="s">
        <v>1794</v>
      </c>
      <c r="D77" s="78" t="s">
        <v>138</v>
      </c>
      <c r="F77" s="90"/>
      <c r="G77" s="83"/>
      <c r="H77" s="78" t="s">
        <v>138</v>
      </c>
      <c r="I77" s="83">
        <v>0</v>
      </c>
      <c r="J77" s="83">
        <v>1</v>
      </c>
      <c r="K77" s="83">
        <v>1</v>
      </c>
      <c r="L77" s="81">
        <f t="shared" si="2"/>
        <v>2</v>
      </c>
    </row>
    <row r="78" spans="3:12" ht="17.399999999999999" customHeight="1">
      <c r="C78" s="78" t="s">
        <v>1794</v>
      </c>
      <c r="D78" s="78" t="s">
        <v>156</v>
      </c>
      <c r="E78" s="78" t="s">
        <v>157</v>
      </c>
      <c r="F78" s="89"/>
      <c r="G78" s="79"/>
      <c r="H78" s="78" t="s">
        <v>156</v>
      </c>
      <c r="I78" s="83">
        <v>0</v>
      </c>
      <c r="J78" s="83">
        <v>1</v>
      </c>
      <c r="K78" s="83">
        <v>1</v>
      </c>
      <c r="L78" s="81">
        <f t="shared" si="2"/>
        <v>2</v>
      </c>
    </row>
    <row r="79" spans="3:12" ht="17.399999999999999" customHeight="1">
      <c r="C79" s="78" t="s">
        <v>1794</v>
      </c>
      <c r="D79" s="78" t="s">
        <v>128</v>
      </c>
      <c r="E79" s="78" t="s">
        <v>129</v>
      </c>
      <c r="F79" s="90"/>
      <c r="G79" s="83"/>
      <c r="H79" s="78" t="s">
        <v>128</v>
      </c>
      <c r="I79" s="83">
        <v>1</v>
      </c>
      <c r="J79" s="83">
        <v>1</v>
      </c>
      <c r="K79" s="83">
        <v>1</v>
      </c>
      <c r="L79" s="81">
        <f t="shared" si="2"/>
        <v>3</v>
      </c>
    </row>
    <row r="80" spans="3:12" ht="17.399999999999999" customHeight="1">
      <c r="C80" s="78" t="s">
        <v>1794</v>
      </c>
      <c r="D80" s="78" t="s">
        <v>132</v>
      </c>
      <c r="E80" s="78"/>
      <c r="F80" s="90"/>
      <c r="G80" s="83"/>
      <c r="H80" s="78" t="s">
        <v>132</v>
      </c>
      <c r="I80" s="83">
        <v>1</v>
      </c>
      <c r="J80" s="83">
        <v>1</v>
      </c>
      <c r="K80" s="83">
        <v>1</v>
      </c>
      <c r="L80" s="81">
        <f t="shared" si="2"/>
        <v>3</v>
      </c>
    </row>
    <row r="81" spans="2:12" ht="17.399999999999999" customHeight="1">
      <c r="C81" s="78" t="s">
        <v>1794</v>
      </c>
      <c r="D81" s="78" t="s">
        <v>148</v>
      </c>
      <c r="E81" s="78" t="s">
        <v>149</v>
      </c>
      <c r="F81" s="90"/>
      <c r="G81" s="83"/>
      <c r="H81" s="78" t="s">
        <v>148</v>
      </c>
      <c r="I81" s="83">
        <v>1</v>
      </c>
      <c r="J81" s="83">
        <v>1</v>
      </c>
      <c r="K81" s="83">
        <v>1</v>
      </c>
      <c r="L81" s="81">
        <f t="shared" si="2"/>
        <v>3</v>
      </c>
    </row>
    <row r="82" spans="2:12" ht="17.399999999999999" customHeight="1">
      <c r="C82" s="78" t="s">
        <v>1794</v>
      </c>
      <c r="D82" s="78" t="s">
        <v>144</v>
      </c>
      <c r="E82" s="78" t="s">
        <v>145</v>
      </c>
      <c r="F82" s="89"/>
      <c r="G82" s="79"/>
      <c r="H82" s="78" t="s">
        <v>144</v>
      </c>
      <c r="I82" s="83">
        <v>1</v>
      </c>
      <c r="J82" s="83">
        <v>1</v>
      </c>
      <c r="K82" s="83">
        <v>1</v>
      </c>
      <c r="L82" s="81">
        <f t="shared" si="2"/>
        <v>3</v>
      </c>
    </row>
    <row r="83" spans="2:12" ht="17.399999999999999" customHeight="1">
      <c r="C83" s="78" t="s">
        <v>1794</v>
      </c>
      <c r="D83" s="78" t="s">
        <v>130</v>
      </c>
      <c r="E83" s="78" t="s">
        <v>131</v>
      </c>
      <c r="F83" s="89"/>
      <c r="G83" s="79"/>
      <c r="H83" s="78" t="s">
        <v>130</v>
      </c>
      <c r="I83" s="83">
        <v>1</v>
      </c>
      <c r="J83" s="83">
        <v>1</v>
      </c>
      <c r="K83" s="83">
        <v>1</v>
      </c>
      <c r="L83" s="81">
        <f t="shared" si="2"/>
        <v>3</v>
      </c>
    </row>
    <row r="84" spans="2:12" ht="17.399999999999999" customHeight="1">
      <c r="C84" s="78" t="s">
        <v>1794</v>
      </c>
      <c r="D84" s="78" t="s">
        <v>152</v>
      </c>
      <c r="E84" s="78" t="s">
        <v>153</v>
      </c>
      <c r="H84" s="78" t="s">
        <v>152</v>
      </c>
      <c r="I84" s="83">
        <v>1</v>
      </c>
      <c r="J84" s="83">
        <v>1</v>
      </c>
      <c r="K84" s="83">
        <v>1</v>
      </c>
      <c r="L84" s="81">
        <f t="shared" si="2"/>
        <v>3</v>
      </c>
    </row>
    <row r="85" spans="2:12" ht="17.399999999999999" customHeight="1">
      <c r="C85" s="78" t="s">
        <v>1794</v>
      </c>
      <c r="D85" s="78" t="s">
        <v>154</v>
      </c>
      <c r="E85" s="78"/>
      <c r="F85" s="90"/>
      <c r="G85" s="83"/>
      <c r="H85" s="78" t="s">
        <v>154</v>
      </c>
      <c r="I85" s="83">
        <v>1</v>
      </c>
      <c r="J85" s="83">
        <v>1</v>
      </c>
      <c r="K85" s="83">
        <v>1</v>
      </c>
      <c r="L85" s="81">
        <f t="shared" si="2"/>
        <v>3</v>
      </c>
    </row>
    <row r="86" spans="2:12" s="101" customFormat="1" ht="17.399999999999999" customHeight="1">
      <c r="B86" s="108"/>
      <c r="C86" s="78" t="s">
        <v>1794</v>
      </c>
      <c r="D86" s="78" t="s">
        <v>140</v>
      </c>
      <c r="E86" s="78"/>
      <c r="F86" s="90"/>
      <c r="G86" s="83"/>
      <c r="H86" s="78" t="s">
        <v>140</v>
      </c>
      <c r="I86" s="83">
        <v>1</v>
      </c>
      <c r="J86" s="83">
        <v>1</v>
      </c>
      <c r="K86" s="83">
        <v>1</v>
      </c>
      <c r="L86" s="81">
        <f t="shared" si="2"/>
        <v>3</v>
      </c>
    </row>
    <row r="87" spans="2:12" ht="17.399999999999999" customHeight="1">
      <c r="C87" s="78" t="s">
        <v>1794</v>
      </c>
      <c r="D87" s="78" t="s">
        <v>164</v>
      </c>
      <c r="E87" s="78"/>
      <c r="F87" s="90"/>
      <c r="G87" s="83"/>
      <c r="H87" s="78" t="s">
        <v>164</v>
      </c>
      <c r="I87" s="83">
        <v>1</v>
      </c>
      <c r="J87" s="83">
        <v>1</v>
      </c>
      <c r="K87" s="83">
        <v>1</v>
      </c>
      <c r="L87" s="81">
        <f t="shared" si="2"/>
        <v>3</v>
      </c>
    </row>
    <row r="88" spans="2:12" ht="17.399999999999999" customHeight="1">
      <c r="C88" s="78" t="s">
        <v>1794</v>
      </c>
      <c r="D88" s="78" t="s">
        <v>136</v>
      </c>
      <c r="E88" s="78" t="s">
        <v>137</v>
      </c>
      <c r="F88" s="89"/>
      <c r="G88" s="79"/>
      <c r="H88" s="78" t="s">
        <v>136</v>
      </c>
      <c r="I88" s="83">
        <v>1</v>
      </c>
      <c r="J88" s="83">
        <v>1</v>
      </c>
      <c r="K88" s="83">
        <v>1</v>
      </c>
      <c r="L88" s="81">
        <f t="shared" si="2"/>
        <v>3</v>
      </c>
    </row>
    <row r="89" spans="2:12" ht="17.399999999999999" customHeight="1">
      <c r="C89" s="78" t="s">
        <v>1794</v>
      </c>
      <c r="D89" s="78" t="s">
        <v>134</v>
      </c>
      <c r="F89" s="89"/>
      <c r="G89" s="79"/>
      <c r="H89" s="78" t="s">
        <v>134</v>
      </c>
      <c r="I89" s="83">
        <v>1</v>
      </c>
      <c r="J89" s="83">
        <v>1</v>
      </c>
      <c r="K89" s="83">
        <v>1</v>
      </c>
      <c r="L89" s="81">
        <f t="shared" si="2"/>
        <v>3</v>
      </c>
    </row>
    <row r="90" spans="2:12" ht="17.399999999999999" customHeight="1">
      <c r="C90" s="78" t="s">
        <v>1794</v>
      </c>
      <c r="D90" s="79" t="s">
        <v>2255</v>
      </c>
      <c r="E90" s="78" t="s">
        <v>141</v>
      </c>
      <c r="F90" s="90"/>
      <c r="G90" s="83"/>
      <c r="H90" s="78" t="s">
        <v>497</v>
      </c>
      <c r="I90" s="78"/>
      <c r="J90" s="78"/>
      <c r="K90" s="78"/>
      <c r="L90" s="81"/>
    </row>
    <row r="92" spans="2:12" ht="17.399999999999999" customHeight="1">
      <c r="I92" s="85"/>
      <c r="J92" s="85"/>
      <c r="K92" s="85"/>
    </row>
    <row r="93" spans="2:12" ht="17.399999999999999" customHeight="1">
      <c r="I93" s="87"/>
      <c r="J93" s="87"/>
      <c r="K93" s="87"/>
    </row>
    <row r="94" spans="2:12" ht="17.399999999999999" customHeight="1">
      <c r="I94" s="85"/>
      <c r="J94" s="85"/>
      <c r="K94" s="85"/>
    </row>
    <row r="95" spans="2:12" ht="17.399999999999999" customHeight="1">
      <c r="I95" s="87"/>
      <c r="J95" s="87"/>
      <c r="K95" s="87"/>
    </row>
    <row r="96" spans="2:12" ht="17.399999999999999" customHeight="1">
      <c r="I96" s="87"/>
      <c r="J96" s="87"/>
      <c r="K96" s="87"/>
    </row>
  </sheetData>
  <autoFilter ref="H1:K66" xr:uid="{08C82D04-34D0-4724-A02E-C158B0BAF01A}">
    <sortState xmlns:xlrd2="http://schemas.microsoft.com/office/spreadsheetml/2017/richdata2" ref="H2:K65">
      <sortCondition descending="1" ref="I2:I65"/>
      <sortCondition descending="1" ref="J2:J65"/>
      <sortCondition descending="1" ref="K2:K65"/>
    </sortState>
  </autoFilter>
  <sortState xmlns:xlrd2="http://schemas.microsoft.com/office/spreadsheetml/2017/richdata2" ref="C2:L90">
    <sortCondition ref="C2:C90"/>
    <sortCondition ref="L2:L90"/>
    <sortCondition ref="F2:F90"/>
    <sortCondition descending="1" ref="I2:I90"/>
    <sortCondition descending="1" ref="J2:J90"/>
    <sortCondition descending="1" ref="K2:K90"/>
  </sortState>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FF14CF-266D-4B54-B0ED-FCD94E3C4841}">
  <dimension ref="A2:V90"/>
  <sheetViews>
    <sheetView topLeftCell="A63" zoomScale="50" zoomScaleNormal="50" workbookViewId="0">
      <selection activeCell="B1" sqref="B1:D1048576"/>
    </sheetView>
  </sheetViews>
  <sheetFormatPr defaultRowHeight="14.4"/>
  <cols>
    <col min="3" max="3" width="30.33203125" bestFit="1" customWidth="1"/>
    <col min="4" max="4" width="197" bestFit="1" customWidth="1"/>
  </cols>
  <sheetData>
    <row r="2" spans="1:5" ht="25.8">
      <c r="B2" t="s">
        <v>1794</v>
      </c>
      <c r="C2" s="26" t="s">
        <v>128</v>
      </c>
      <c r="D2" s="26" t="s">
        <v>129</v>
      </c>
    </row>
    <row r="3" spans="1:5" ht="25.8">
      <c r="A3">
        <v>1</v>
      </c>
      <c r="B3">
        <v>1</v>
      </c>
      <c r="C3" s="25" t="s">
        <v>62</v>
      </c>
      <c r="D3" s="25" t="s">
        <v>63</v>
      </c>
    </row>
    <row r="4" spans="1:5" ht="25.8">
      <c r="A4">
        <v>2</v>
      </c>
      <c r="B4" t="s">
        <v>1794</v>
      </c>
      <c r="C4" s="26" t="s">
        <v>162</v>
      </c>
      <c r="D4" s="26" t="s">
        <v>163</v>
      </c>
    </row>
    <row r="5" spans="1:5" ht="25.8">
      <c r="A5">
        <v>3</v>
      </c>
      <c r="B5">
        <v>1</v>
      </c>
      <c r="C5" s="25" t="s">
        <v>36</v>
      </c>
      <c r="D5" s="26" t="s">
        <v>119</v>
      </c>
    </row>
    <row r="6" spans="1:5" ht="25.8">
      <c r="A6">
        <v>4</v>
      </c>
      <c r="B6">
        <v>1</v>
      </c>
      <c r="C6" s="25" t="s">
        <v>100</v>
      </c>
      <c r="D6" s="26" t="s">
        <v>101</v>
      </c>
    </row>
    <row r="7" spans="1:5" ht="25.8">
      <c r="A7">
        <v>5</v>
      </c>
      <c r="B7">
        <v>1</v>
      </c>
      <c r="C7" s="25" t="s">
        <v>90</v>
      </c>
      <c r="D7" s="25" t="s">
        <v>91</v>
      </c>
    </row>
    <row r="8" spans="1:5" ht="25.8">
      <c r="A8">
        <v>6</v>
      </c>
      <c r="B8">
        <v>1</v>
      </c>
      <c r="C8" s="25" t="s">
        <v>20</v>
      </c>
      <c r="D8" s="28" t="s">
        <v>21</v>
      </c>
    </row>
    <row r="9" spans="1:5" ht="25.8">
      <c r="A9">
        <v>7</v>
      </c>
      <c r="B9">
        <v>1</v>
      </c>
      <c r="C9" s="25" t="s">
        <v>102</v>
      </c>
      <c r="D9" s="28" t="s">
        <v>103</v>
      </c>
    </row>
    <row r="10" spans="1:5" ht="25.8">
      <c r="A10">
        <v>8</v>
      </c>
      <c r="B10">
        <v>1</v>
      </c>
      <c r="C10" s="25" t="s">
        <v>22</v>
      </c>
      <c r="D10" s="25" t="s">
        <v>23</v>
      </c>
      <c r="E10" s="25"/>
    </row>
    <row r="11" spans="1:5" ht="25.8">
      <c r="A11">
        <v>9</v>
      </c>
      <c r="C11" s="25" t="s">
        <v>38</v>
      </c>
      <c r="D11" s="25" t="s">
        <v>39</v>
      </c>
    </row>
    <row r="12" spans="1:5" ht="25.8">
      <c r="A12">
        <v>10</v>
      </c>
      <c r="B12">
        <v>1</v>
      </c>
      <c r="C12" s="25" t="s">
        <v>64</v>
      </c>
      <c r="D12" s="25" t="s">
        <v>65</v>
      </c>
    </row>
    <row r="13" spans="1:5" ht="25.8">
      <c r="A13">
        <v>11</v>
      </c>
      <c r="B13">
        <v>1</v>
      </c>
      <c r="C13" s="25" t="s">
        <v>2</v>
      </c>
      <c r="D13" s="25" t="s">
        <v>3</v>
      </c>
    </row>
    <row r="14" spans="1:5" ht="25.8">
      <c r="A14">
        <v>12</v>
      </c>
      <c r="B14">
        <v>1</v>
      </c>
      <c r="C14" s="25" t="s">
        <v>4</v>
      </c>
      <c r="D14" s="25" t="s">
        <v>5</v>
      </c>
    </row>
    <row r="15" spans="1:5" ht="25.8">
      <c r="A15">
        <v>13</v>
      </c>
      <c r="B15">
        <v>1</v>
      </c>
      <c r="C15" s="25" t="s">
        <v>40</v>
      </c>
      <c r="D15" s="25" t="s">
        <v>41</v>
      </c>
    </row>
    <row r="16" spans="1:5" ht="25.8">
      <c r="A16">
        <v>14</v>
      </c>
      <c r="B16">
        <v>1</v>
      </c>
      <c r="C16" s="25" t="s">
        <v>104</v>
      </c>
      <c r="D16" s="25" t="s">
        <v>105</v>
      </c>
    </row>
    <row r="17" spans="1:22" ht="25.8">
      <c r="A17">
        <v>15</v>
      </c>
      <c r="B17">
        <v>1</v>
      </c>
      <c r="C17" s="25" t="s">
        <v>92</v>
      </c>
      <c r="D17" s="25" t="s">
        <v>93</v>
      </c>
    </row>
    <row r="18" spans="1:22" ht="25.8">
      <c r="A18">
        <v>16</v>
      </c>
      <c r="B18">
        <v>1</v>
      </c>
      <c r="C18" s="25" t="s">
        <v>106</v>
      </c>
      <c r="D18" s="25" t="s">
        <v>2254</v>
      </c>
      <c r="E18" s="26" t="s">
        <v>7</v>
      </c>
    </row>
    <row r="19" spans="1:22" ht="25.8">
      <c r="A19">
        <v>17</v>
      </c>
      <c r="B19">
        <v>1</v>
      </c>
      <c r="C19" s="25" t="s">
        <v>107</v>
      </c>
      <c r="D19" s="26" t="s">
        <v>108</v>
      </c>
    </row>
    <row r="20" spans="1:22" ht="25.8">
      <c r="A20">
        <v>18</v>
      </c>
      <c r="B20">
        <v>1</v>
      </c>
      <c r="C20" s="25" t="s">
        <v>6</v>
      </c>
    </row>
    <row r="21" spans="1:22" ht="25.8">
      <c r="A21">
        <v>19</v>
      </c>
      <c r="B21">
        <v>1</v>
      </c>
      <c r="C21" s="25" t="s">
        <v>109</v>
      </c>
      <c r="D21" s="26" t="s">
        <v>9</v>
      </c>
    </row>
    <row r="22" spans="1:22" ht="25.8">
      <c r="A22">
        <v>20</v>
      </c>
      <c r="B22">
        <v>1</v>
      </c>
      <c r="C22" s="25" t="s">
        <v>8</v>
      </c>
      <c r="D22" t="s">
        <v>2258</v>
      </c>
    </row>
    <row r="23" spans="1:22" ht="25.8">
      <c r="A23">
        <v>21</v>
      </c>
      <c r="B23" t="s">
        <v>1794</v>
      </c>
      <c r="C23" s="26" t="s">
        <v>132</v>
      </c>
    </row>
    <row r="24" spans="1:22" ht="25.8">
      <c r="A24">
        <v>22</v>
      </c>
      <c r="B24" t="s">
        <v>1794</v>
      </c>
      <c r="C24" s="26" t="s">
        <v>146</v>
      </c>
    </row>
    <row r="25" spans="1:22" ht="25.8">
      <c r="A25">
        <v>23</v>
      </c>
      <c r="B25">
        <v>1</v>
      </c>
      <c r="C25" s="25" t="s">
        <v>24</v>
      </c>
      <c r="D25" s="26" t="s">
        <v>25</v>
      </c>
    </row>
    <row r="26" spans="1:22" ht="25.8">
      <c r="A26">
        <v>24</v>
      </c>
      <c r="B26">
        <v>1</v>
      </c>
      <c r="C26" s="25" t="s">
        <v>66</v>
      </c>
      <c r="D26" s="25" t="s">
        <v>67</v>
      </c>
    </row>
    <row r="27" spans="1:22" ht="25.8">
      <c r="A27">
        <v>25</v>
      </c>
      <c r="B27">
        <v>1</v>
      </c>
      <c r="C27" s="25" t="s">
        <v>26</v>
      </c>
      <c r="D27" s="25" t="s">
        <v>27</v>
      </c>
      <c r="V27" s="25" t="s">
        <v>59</v>
      </c>
    </row>
    <row r="28" spans="1:22" ht="25.8">
      <c r="A28">
        <v>26</v>
      </c>
      <c r="B28">
        <v>1</v>
      </c>
      <c r="C28" s="25" t="s">
        <v>94</v>
      </c>
      <c r="D28" s="25" t="s">
        <v>95</v>
      </c>
    </row>
    <row r="29" spans="1:22" ht="25.8">
      <c r="A29">
        <v>27</v>
      </c>
      <c r="B29">
        <v>1</v>
      </c>
      <c r="C29" s="25" t="s">
        <v>68</v>
      </c>
      <c r="D29" s="25" t="s">
        <v>69</v>
      </c>
    </row>
    <row r="30" spans="1:22" ht="25.8">
      <c r="A30">
        <v>28</v>
      </c>
      <c r="B30">
        <v>1</v>
      </c>
      <c r="C30" s="25" t="s">
        <v>111</v>
      </c>
      <c r="D30" s="25" t="s">
        <v>112</v>
      </c>
    </row>
    <row r="31" spans="1:22" ht="25.8">
      <c r="A31">
        <v>29</v>
      </c>
      <c r="B31">
        <v>1</v>
      </c>
      <c r="C31" s="25" t="s">
        <v>113</v>
      </c>
      <c r="D31" s="25" t="s">
        <v>114</v>
      </c>
    </row>
    <row r="32" spans="1:22" ht="25.8">
      <c r="A32">
        <v>30</v>
      </c>
      <c r="B32">
        <v>1</v>
      </c>
      <c r="C32" s="25" t="s">
        <v>28</v>
      </c>
      <c r="D32" s="25" t="s">
        <v>29</v>
      </c>
    </row>
    <row r="33" spans="1:5" ht="25.8">
      <c r="A33">
        <v>31</v>
      </c>
      <c r="B33" t="s">
        <v>1794</v>
      </c>
      <c r="C33" s="25" t="s">
        <v>28</v>
      </c>
      <c r="D33" s="25" t="s">
        <v>29</v>
      </c>
    </row>
    <row r="34" spans="1:5" ht="25.8">
      <c r="A34">
        <v>32</v>
      </c>
      <c r="B34" t="s">
        <v>1794</v>
      </c>
      <c r="C34" s="26" t="s">
        <v>150</v>
      </c>
      <c r="D34" s="26" t="s">
        <v>151</v>
      </c>
    </row>
    <row r="35" spans="1:5" ht="25.8">
      <c r="A35">
        <v>33</v>
      </c>
      <c r="B35">
        <v>1</v>
      </c>
      <c r="C35" s="25" t="s">
        <v>42</v>
      </c>
      <c r="D35" s="25" t="s">
        <v>43</v>
      </c>
    </row>
    <row r="36" spans="1:5" ht="25.8">
      <c r="A36">
        <v>34</v>
      </c>
      <c r="B36" t="s">
        <v>1794</v>
      </c>
      <c r="C36" s="26" t="s">
        <v>148</v>
      </c>
      <c r="D36" s="26" t="s">
        <v>149</v>
      </c>
      <c r="E36" s="25" t="s">
        <v>49</v>
      </c>
    </row>
    <row r="37" spans="1:5" ht="25.8">
      <c r="A37">
        <v>35</v>
      </c>
      <c r="B37" t="s">
        <v>1794</v>
      </c>
      <c r="C37" s="26" t="s">
        <v>142</v>
      </c>
    </row>
    <row r="38" spans="1:5" ht="25.8">
      <c r="A38">
        <v>36</v>
      </c>
      <c r="B38">
        <v>1</v>
      </c>
      <c r="C38" s="25" t="s">
        <v>115</v>
      </c>
      <c r="D38" s="25" t="s">
        <v>116</v>
      </c>
    </row>
    <row r="39" spans="1:5" ht="25.8">
      <c r="A39">
        <v>37</v>
      </c>
      <c r="B39">
        <v>1</v>
      </c>
      <c r="C39" s="25" t="s">
        <v>2256</v>
      </c>
      <c r="D39" t="s">
        <v>2257</v>
      </c>
    </row>
    <row r="40" spans="1:5" ht="25.8">
      <c r="A40">
        <v>38</v>
      </c>
      <c r="B40">
        <v>1</v>
      </c>
      <c r="C40" s="25" t="s">
        <v>2259</v>
      </c>
      <c r="D40" s="35" t="s">
        <v>2260</v>
      </c>
    </row>
    <row r="41" spans="1:5" ht="25.8">
      <c r="A41">
        <v>39</v>
      </c>
      <c r="B41">
        <v>1</v>
      </c>
      <c r="C41" s="25" t="s">
        <v>44</v>
      </c>
      <c r="D41" s="25" t="s">
        <v>45</v>
      </c>
    </row>
    <row r="42" spans="1:5" ht="25.8">
      <c r="A42">
        <v>40</v>
      </c>
      <c r="B42">
        <v>1</v>
      </c>
      <c r="C42" s="25" t="s">
        <v>46</v>
      </c>
      <c r="D42" s="25" t="s">
        <v>47</v>
      </c>
    </row>
    <row r="43" spans="1:5" ht="25.8">
      <c r="A43">
        <v>41</v>
      </c>
      <c r="B43">
        <v>1</v>
      </c>
      <c r="C43" s="25" t="s">
        <v>30</v>
      </c>
      <c r="D43" s="25" t="s">
        <v>31</v>
      </c>
      <c r="E43" s="25"/>
    </row>
    <row r="44" spans="1:5" ht="25.8">
      <c r="A44">
        <v>42</v>
      </c>
      <c r="B44">
        <v>1</v>
      </c>
      <c r="C44" s="25" t="s">
        <v>2261</v>
      </c>
      <c r="D44" t="s">
        <v>2262</v>
      </c>
    </row>
    <row r="45" spans="1:5" ht="25.8">
      <c r="A45">
        <v>43</v>
      </c>
      <c r="B45" t="s">
        <v>1794</v>
      </c>
      <c r="C45" s="26" t="s">
        <v>144</v>
      </c>
      <c r="D45" s="26" t="s">
        <v>145</v>
      </c>
    </row>
    <row r="46" spans="1:5" ht="25.8">
      <c r="A46">
        <v>44</v>
      </c>
      <c r="B46" t="s">
        <v>1794</v>
      </c>
      <c r="C46" s="26" t="s">
        <v>130</v>
      </c>
      <c r="D46" s="26" t="s">
        <v>131</v>
      </c>
    </row>
    <row r="47" spans="1:5" ht="25.8">
      <c r="A47">
        <v>45</v>
      </c>
      <c r="B47" t="s">
        <v>1794</v>
      </c>
      <c r="C47" s="26" t="s">
        <v>152</v>
      </c>
      <c r="D47" s="26" t="s">
        <v>153</v>
      </c>
    </row>
    <row r="48" spans="1:5" ht="25.8">
      <c r="A48">
        <v>46</v>
      </c>
      <c r="B48">
        <v>1</v>
      </c>
      <c r="C48" s="25" t="s">
        <v>96</v>
      </c>
      <c r="D48" s="25" t="s">
        <v>97</v>
      </c>
    </row>
    <row r="49" spans="1:4" ht="25.8">
      <c r="A49">
        <v>47</v>
      </c>
      <c r="B49">
        <v>1</v>
      </c>
      <c r="C49" s="25" t="s">
        <v>2263</v>
      </c>
      <c r="D49" s="25" t="s">
        <v>53</v>
      </c>
    </row>
    <row r="50" spans="1:4" ht="25.8">
      <c r="A50">
        <v>48</v>
      </c>
      <c r="B50">
        <v>1</v>
      </c>
      <c r="C50" s="26" t="s">
        <v>160</v>
      </c>
      <c r="D50" s="26" t="s">
        <v>161</v>
      </c>
    </row>
    <row r="51" spans="1:4" ht="25.8">
      <c r="A51">
        <v>49</v>
      </c>
      <c r="B51">
        <v>1</v>
      </c>
      <c r="C51" s="26" t="s">
        <v>158</v>
      </c>
      <c r="D51" s="25" t="s">
        <v>117</v>
      </c>
    </row>
    <row r="52" spans="1:4" ht="25.8">
      <c r="A52">
        <v>50</v>
      </c>
      <c r="B52">
        <v>1</v>
      </c>
      <c r="C52" s="25" t="s">
        <v>48</v>
      </c>
      <c r="D52" s="25" t="s">
        <v>2264</v>
      </c>
    </row>
    <row r="53" spans="1:4" ht="25.8">
      <c r="A53">
        <v>51</v>
      </c>
      <c r="B53">
        <v>1</v>
      </c>
      <c r="C53" s="25" t="s">
        <v>88</v>
      </c>
      <c r="D53" s="26" t="s">
        <v>89</v>
      </c>
    </row>
    <row r="54" spans="1:4">
      <c r="A54">
        <v>52</v>
      </c>
      <c r="B54">
        <v>1</v>
      </c>
      <c r="C54" t="s">
        <v>88</v>
      </c>
      <c r="D54" t="s">
        <v>89</v>
      </c>
    </row>
    <row r="55" spans="1:4" ht="25.8">
      <c r="A55">
        <v>53</v>
      </c>
      <c r="B55" t="s">
        <v>1794</v>
      </c>
      <c r="C55" s="25" t="s">
        <v>118</v>
      </c>
      <c r="D55" s="26" t="s">
        <v>37</v>
      </c>
    </row>
    <row r="56" spans="1:4" ht="25.8">
      <c r="A56">
        <v>54</v>
      </c>
      <c r="B56">
        <v>1</v>
      </c>
      <c r="C56" s="25" t="s">
        <v>70</v>
      </c>
      <c r="D56" t="s">
        <v>2265</v>
      </c>
    </row>
    <row r="57" spans="1:4" ht="25.8">
      <c r="A57">
        <v>55</v>
      </c>
      <c r="B57">
        <v>1</v>
      </c>
      <c r="C57" s="25" t="s">
        <v>50</v>
      </c>
      <c r="D57" s="25" t="s">
        <v>55</v>
      </c>
    </row>
    <row r="58" spans="1:4" ht="25.8">
      <c r="A58">
        <v>56</v>
      </c>
      <c r="B58">
        <v>1</v>
      </c>
      <c r="C58" s="25" t="s">
        <v>72</v>
      </c>
      <c r="D58" s="25" t="s">
        <v>73</v>
      </c>
    </row>
    <row r="59" spans="1:4" ht="25.8">
      <c r="A59">
        <v>57</v>
      </c>
      <c r="B59" t="s">
        <v>1794</v>
      </c>
      <c r="C59" s="26" t="s">
        <v>138</v>
      </c>
    </row>
    <row r="60" spans="1:4" ht="25.8">
      <c r="A60">
        <v>58</v>
      </c>
      <c r="B60">
        <v>1</v>
      </c>
      <c r="C60" s="25" t="s">
        <v>10</v>
      </c>
      <c r="D60" s="25" t="s">
        <v>11</v>
      </c>
    </row>
    <row r="61" spans="1:4" ht="25.8">
      <c r="A61">
        <v>59</v>
      </c>
      <c r="B61">
        <v>1</v>
      </c>
      <c r="C61" s="25" t="s">
        <v>12</v>
      </c>
      <c r="D61" s="25" t="s">
        <v>13</v>
      </c>
    </row>
    <row r="62" spans="1:4" ht="25.8">
      <c r="A62">
        <v>60</v>
      </c>
      <c r="B62">
        <v>1</v>
      </c>
      <c r="C62" s="25" t="s">
        <v>32</v>
      </c>
      <c r="D62" s="26" t="s">
        <v>33</v>
      </c>
    </row>
    <row r="63" spans="1:4" ht="25.8">
      <c r="A63">
        <v>61</v>
      </c>
      <c r="B63">
        <v>1</v>
      </c>
      <c r="C63" s="26" t="s">
        <v>74</v>
      </c>
      <c r="D63" s="26" t="s">
        <v>75</v>
      </c>
    </row>
    <row r="64" spans="1:4" ht="25.8">
      <c r="A64">
        <v>62</v>
      </c>
      <c r="B64">
        <v>1</v>
      </c>
      <c r="C64" s="25" t="s">
        <v>14</v>
      </c>
      <c r="D64" s="25" t="s">
        <v>15</v>
      </c>
    </row>
    <row r="65" spans="1:15" ht="25.8">
      <c r="A65">
        <v>63</v>
      </c>
      <c r="B65">
        <v>1</v>
      </c>
      <c r="C65" s="25" t="s">
        <v>120</v>
      </c>
      <c r="D65" s="26" t="s">
        <v>121</v>
      </c>
    </row>
    <row r="66" spans="1:15" ht="25.8">
      <c r="A66">
        <v>64</v>
      </c>
      <c r="B66" t="s">
        <v>1794</v>
      </c>
      <c r="C66" s="26" t="s">
        <v>154</v>
      </c>
    </row>
    <row r="67" spans="1:15" ht="25.8">
      <c r="A67">
        <v>65</v>
      </c>
      <c r="B67">
        <v>1</v>
      </c>
      <c r="C67" s="25" t="s">
        <v>76</v>
      </c>
      <c r="D67" s="25" t="s">
        <v>77</v>
      </c>
    </row>
    <row r="68" spans="1:15" ht="25.8">
      <c r="A68">
        <v>66</v>
      </c>
      <c r="B68" t="s">
        <v>1794</v>
      </c>
      <c r="C68" s="26" t="s">
        <v>156</v>
      </c>
      <c r="D68" s="26" t="s">
        <v>157</v>
      </c>
    </row>
    <row r="69" spans="1:15" ht="25.8">
      <c r="A69">
        <v>67</v>
      </c>
      <c r="B69" t="s">
        <v>1794</v>
      </c>
      <c r="C69" s="26" t="s">
        <v>140</v>
      </c>
    </row>
    <row r="70" spans="1:15" ht="25.8">
      <c r="A70">
        <v>68</v>
      </c>
      <c r="B70">
        <v>1</v>
      </c>
      <c r="C70" s="25" t="s">
        <v>78</v>
      </c>
      <c r="D70" s="25" t="s">
        <v>79</v>
      </c>
    </row>
    <row r="71" spans="1:15" ht="25.8">
      <c r="A71">
        <v>69</v>
      </c>
      <c r="B71">
        <v>1</v>
      </c>
      <c r="C71" s="25" t="s">
        <v>122</v>
      </c>
      <c r="D71" s="25" t="s">
        <v>123</v>
      </c>
      <c r="O71" s="25" t="s">
        <v>71</v>
      </c>
    </row>
    <row r="72" spans="1:15" ht="25.8">
      <c r="A72">
        <v>70</v>
      </c>
      <c r="B72" t="s">
        <v>1794</v>
      </c>
      <c r="C72" s="26" t="s">
        <v>164</v>
      </c>
      <c r="O72" s="26" t="s">
        <v>147</v>
      </c>
    </row>
    <row r="73" spans="1:15" ht="25.8">
      <c r="A73">
        <v>71</v>
      </c>
      <c r="B73">
        <v>1</v>
      </c>
      <c r="C73" s="25" t="s">
        <v>80</v>
      </c>
      <c r="D73" s="25" t="s">
        <v>81</v>
      </c>
      <c r="O73" s="25" t="s">
        <v>99</v>
      </c>
    </row>
    <row r="74" spans="1:15" ht="25.8">
      <c r="A74">
        <v>72</v>
      </c>
      <c r="B74">
        <v>1</v>
      </c>
      <c r="C74" s="25" t="s">
        <v>82</v>
      </c>
      <c r="D74" s="25" t="s">
        <v>83</v>
      </c>
      <c r="O74" s="26" t="s">
        <v>110</v>
      </c>
    </row>
    <row r="75" spans="1:15" ht="25.8">
      <c r="A75">
        <v>73</v>
      </c>
      <c r="B75" t="s">
        <v>1794</v>
      </c>
      <c r="C75" s="25" t="s">
        <v>2255</v>
      </c>
      <c r="D75" s="26" t="s">
        <v>141</v>
      </c>
      <c r="O75" s="25" t="s">
        <v>61</v>
      </c>
    </row>
    <row r="76" spans="1:15" ht="25.8">
      <c r="A76">
        <v>74</v>
      </c>
      <c r="B76" t="s">
        <v>1794</v>
      </c>
      <c r="C76" s="26" t="s">
        <v>136</v>
      </c>
      <c r="D76" s="26" t="s">
        <v>137</v>
      </c>
    </row>
    <row r="77" spans="1:15" ht="25.8">
      <c r="A77">
        <v>75</v>
      </c>
      <c r="B77">
        <v>1</v>
      </c>
      <c r="C77" s="25" t="s">
        <v>34</v>
      </c>
      <c r="D77" s="25" t="s">
        <v>35</v>
      </c>
      <c r="O77" s="26" t="s">
        <v>133</v>
      </c>
    </row>
    <row r="78" spans="1:15" ht="25.8">
      <c r="A78">
        <v>76</v>
      </c>
      <c r="B78">
        <v>1</v>
      </c>
      <c r="C78" s="25" t="s">
        <v>126</v>
      </c>
      <c r="D78" s="26" t="s">
        <v>127</v>
      </c>
      <c r="O78" s="26" t="s">
        <v>135</v>
      </c>
    </row>
    <row r="79" spans="1:15" ht="25.8">
      <c r="A79">
        <v>77</v>
      </c>
      <c r="B79">
        <v>1</v>
      </c>
      <c r="C79" s="25" t="s">
        <v>124</v>
      </c>
      <c r="D79" s="25" t="s">
        <v>125</v>
      </c>
    </row>
    <row r="80" spans="1:15" ht="25.8">
      <c r="A80">
        <v>78</v>
      </c>
      <c r="B80">
        <v>1</v>
      </c>
      <c r="C80" s="25" t="s">
        <v>84</v>
      </c>
      <c r="D80" s="26" t="s">
        <v>85</v>
      </c>
      <c r="O80" s="26" t="s">
        <v>143</v>
      </c>
    </row>
    <row r="81" spans="1:15" ht="25.8">
      <c r="A81">
        <v>79</v>
      </c>
      <c r="B81">
        <v>1</v>
      </c>
      <c r="C81" s="25" t="s">
        <v>16</v>
      </c>
      <c r="D81" s="25" t="s">
        <v>17</v>
      </c>
      <c r="O81" s="26" t="s">
        <v>139</v>
      </c>
    </row>
    <row r="82" spans="1:15" ht="25.8">
      <c r="A82">
        <v>80</v>
      </c>
      <c r="B82" t="s">
        <v>1794</v>
      </c>
      <c r="C82" s="26" t="s">
        <v>134</v>
      </c>
      <c r="O82" s="26" t="s">
        <v>155</v>
      </c>
    </row>
    <row r="83" spans="1:15" ht="25.8">
      <c r="A83">
        <v>81</v>
      </c>
      <c r="B83">
        <v>1</v>
      </c>
      <c r="C83" s="25" t="s">
        <v>86</v>
      </c>
      <c r="D83" s="25" t="s">
        <v>87</v>
      </c>
    </row>
    <row r="84" spans="1:15" ht="25.8">
      <c r="A84">
        <v>82</v>
      </c>
      <c r="B84">
        <v>1</v>
      </c>
      <c r="C84" s="25" t="s">
        <v>98</v>
      </c>
      <c r="D84" s="25" t="s">
        <v>99</v>
      </c>
    </row>
    <row r="85" spans="1:15" ht="25.8">
      <c r="A85">
        <v>83</v>
      </c>
      <c r="B85">
        <v>1</v>
      </c>
      <c r="C85" s="27" t="s">
        <v>18</v>
      </c>
      <c r="D85" s="25" t="s">
        <v>19</v>
      </c>
    </row>
    <row r="86" spans="1:15" ht="25.8">
      <c r="A86">
        <v>84</v>
      </c>
      <c r="B86">
        <v>1</v>
      </c>
      <c r="C86" s="25" t="s">
        <v>52</v>
      </c>
      <c r="D86" s="26" t="s">
        <v>159</v>
      </c>
      <c r="E86" s="26"/>
    </row>
    <row r="87" spans="1:15" ht="25.8">
      <c r="B87">
        <v>1</v>
      </c>
      <c r="C87" s="25" t="s">
        <v>54</v>
      </c>
      <c r="D87" s="25" t="s">
        <v>51</v>
      </c>
    </row>
    <row r="88" spans="1:15" ht="25.8">
      <c r="B88">
        <v>1</v>
      </c>
      <c r="C88" s="26" t="s">
        <v>56</v>
      </c>
      <c r="D88" s="26" t="s">
        <v>57</v>
      </c>
    </row>
    <row r="89" spans="1:15" ht="25.8">
      <c r="B89">
        <v>1</v>
      </c>
      <c r="C89" s="25" t="s">
        <v>58</v>
      </c>
      <c r="D89" s="25" t="s">
        <v>2266</v>
      </c>
    </row>
    <row r="90" spans="1:15" ht="25.8">
      <c r="B90">
        <v>1</v>
      </c>
      <c r="C90" s="25" t="s">
        <v>60</v>
      </c>
    </row>
  </sheetData>
  <sortState xmlns:xlrd2="http://schemas.microsoft.com/office/spreadsheetml/2017/richdata2" ref="B2:D91">
    <sortCondition ref="C2:C91"/>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52FE5-CF32-4F2B-9D71-72CF1953CDAB}">
  <dimension ref="A1:Y89"/>
  <sheetViews>
    <sheetView tabSelected="1" topLeftCell="H16" workbookViewId="0">
      <selection activeCell="L39" sqref="L39"/>
    </sheetView>
  </sheetViews>
  <sheetFormatPr defaultRowHeight="14.4" outlineLevelRow="1"/>
  <cols>
    <col min="1" max="1" width="3.77734375" bestFit="1" customWidth="1"/>
    <col min="2" max="2" width="21.88671875" bestFit="1" customWidth="1"/>
    <col min="3" max="3" width="78.77734375" bestFit="1" customWidth="1"/>
    <col min="4" max="4" width="48.88671875" bestFit="1" customWidth="1"/>
    <col min="5" max="5" width="6.109375" bestFit="1" customWidth="1"/>
    <col min="6" max="6" width="19.5546875" bestFit="1" customWidth="1"/>
    <col min="7" max="7" width="6.109375" bestFit="1" customWidth="1"/>
    <col min="8" max="8" width="11.5546875" bestFit="1" customWidth="1"/>
    <col min="9" max="9" width="21" customWidth="1"/>
    <col min="10" max="10" width="13.5546875" customWidth="1"/>
    <col min="11" max="11" width="27.6640625" bestFit="1" customWidth="1"/>
    <col min="13" max="13" width="14.109375" customWidth="1"/>
    <col min="14" max="14" width="15.88671875" customWidth="1"/>
    <col min="15" max="15" width="6.77734375" bestFit="1" customWidth="1"/>
  </cols>
  <sheetData>
    <row r="1" spans="1:25" ht="16.2" thickBot="1">
      <c r="A1" s="78" t="s">
        <v>2333</v>
      </c>
      <c r="B1" s="78" t="s">
        <v>2334</v>
      </c>
      <c r="C1" s="78" t="s">
        <v>2335</v>
      </c>
      <c r="D1" s="83" t="s">
        <v>2269</v>
      </c>
      <c r="E1" s="90" t="s">
        <v>2268</v>
      </c>
      <c r="F1" s="79" t="s">
        <v>0</v>
      </c>
      <c r="G1" s="90" t="s">
        <v>2268</v>
      </c>
      <c r="H1" s="90"/>
      <c r="I1" s="109" t="s">
        <v>2347</v>
      </c>
      <c r="J1" s="109" t="s">
        <v>2348</v>
      </c>
      <c r="K1" s="90"/>
      <c r="L1" s="80" t="s">
        <v>2485</v>
      </c>
      <c r="M1" s="80" t="s">
        <v>2486</v>
      </c>
      <c r="N1" s="80" t="s">
        <v>2336</v>
      </c>
      <c r="O1" s="81" t="s">
        <v>496</v>
      </c>
      <c r="Q1" s="90"/>
      <c r="R1" s="80"/>
      <c r="S1" s="80"/>
      <c r="T1" s="80"/>
      <c r="V1" s="90"/>
      <c r="W1" s="80"/>
      <c r="X1" s="80"/>
      <c r="Y1" s="80"/>
    </row>
    <row r="2" spans="1:25" ht="20.399999999999999">
      <c r="A2" s="78">
        <v>1</v>
      </c>
      <c r="B2" s="79" t="s">
        <v>2261</v>
      </c>
      <c r="C2" s="78" t="s">
        <v>2262</v>
      </c>
      <c r="D2" s="83" t="s">
        <v>2277</v>
      </c>
      <c r="E2" s="90">
        <v>1985</v>
      </c>
      <c r="F2" s="78" t="s">
        <v>2261</v>
      </c>
      <c r="G2" s="90">
        <v>1985</v>
      </c>
      <c r="H2" s="120" t="s">
        <v>2487</v>
      </c>
      <c r="I2" s="110" t="s">
        <v>2462</v>
      </c>
      <c r="J2" s="110" t="s">
        <v>2388</v>
      </c>
      <c r="K2" s="90" t="str">
        <f>_xlfn.CONCAT(F2, "_", G2)</f>
        <v>IFPRI-GR_1985</v>
      </c>
      <c r="L2" s="78">
        <v>1</v>
      </c>
      <c r="M2" s="78">
        <v>0</v>
      </c>
      <c r="N2" s="78">
        <v>0</v>
      </c>
      <c r="O2" s="81">
        <f>SUM(L2:N2)</f>
        <v>1</v>
      </c>
      <c r="Q2" s="90"/>
      <c r="R2" s="78"/>
      <c r="S2" s="78"/>
      <c r="T2" s="78"/>
      <c r="V2" s="102"/>
      <c r="W2" s="78"/>
      <c r="X2" s="78"/>
      <c r="Y2" s="78"/>
    </row>
    <row r="3" spans="1:25" ht="15.6">
      <c r="A3" s="78">
        <v>1</v>
      </c>
      <c r="B3" s="79" t="s">
        <v>22</v>
      </c>
      <c r="C3" s="79" t="s">
        <v>23</v>
      </c>
      <c r="D3" s="79" t="s">
        <v>2275</v>
      </c>
      <c r="E3" s="89">
        <v>1992</v>
      </c>
      <c r="F3" s="79" t="s">
        <v>22</v>
      </c>
      <c r="G3" s="89">
        <v>1992</v>
      </c>
      <c r="H3" s="120"/>
      <c r="I3" s="110" t="s">
        <v>2473</v>
      </c>
      <c r="J3" s="110" t="s">
        <v>2410</v>
      </c>
      <c r="K3" s="90" t="str">
        <f>_xlfn.CONCAT(F3, "_", G3)</f>
        <v>CBD_1992</v>
      </c>
      <c r="L3" s="79">
        <v>1</v>
      </c>
      <c r="M3" s="79">
        <v>1</v>
      </c>
      <c r="N3" s="79">
        <v>0</v>
      </c>
      <c r="O3" s="81">
        <f>SUM(L3:N3)</f>
        <v>2</v>
      </c>
      <c r="Q3" s="89"/>
      <c r="R3" s="79"/>
      <c r="S3" s="79"/>
      <c r="T3" s="79"/>
      <c r="V3" s="102"/>
      <c r="W3" s="79"/>
      <c r="X3" s="79"/>
      <c r="Y3" s="79"/>
    </row>
    <row r="4" spans="1:25" ht="15.6">
      <c r="A4" s="78">
        <v>1</v>
      </c>
      <c r="B4" s="79" t="s">
        <v>44</v>
      </c>
      <c r="C4" s="79" t="s">
        <v>45</v>
      </c>
      <c r="D4" s="83" t="s">
        <v>2280</v>
      </c>
      <c r="E4" s="90">
        <v>1998</v>
      </c>
      <c r="F4" s="79" t="s">
        <v>44</v>
      </c>
      <c r="G4" s="90">
        <v>1998</v>
      </c>
      <c r="H4" s="120"/>
      <c r="I4" s="110" t="s">
        <v>2435</v>
      </c>
      <c r="J4" s="110" t="s">
        <v>2397</v>
      </c>
      <c r="K4" s="90" t="str">
        <f>_xlfn.CONCAT(F4, "_", G4)</f>
        <v>IDS-SRLF_1998</v>
      </c>
      <c r="L4" s="79">
        <v>1</v>
      </c>
      <c r="M4" s="79">
        <v>0</v>
      </c>
      <c r="N4" s="79">
        <v>1</v>
      </c>
      <c r="O4" s="81">
        <f>SUM(L4:N4)</f>
        <v>2</v>
      </c>
      <c r="Q4" s="90"/>
      <c r="R4" s="79"/>
      <c r="S4" s="79"/>
      <c r="T4" s="79"/>
      <c r="V4" s="103"/>
      <c r="W4" s="79"/>
      <c r="X4" s="79"/>
      <c r="Y4" s="79"/>
    </row>
    <row r="5" spans="1:25" ht="15.6">
      <c r="A5" s="78">
        <v>1</v>
      </c>
      <c r="B5" s="79" t="s">
        <v>100</v>
      </c>
      <c r="C5" s="78" t="s">
        <v>101</v>
      </c>
      <c r="D5" s="83" t="s">
        <v>2273</v>
      </c>
      <c r="E5" s="90">
        <v>2002</v>
      </c>
      <c r="F5" s="79" t="s">
        <v>100</v>
      </c>
      <c r="G5" s="90">
        <v>2002</v>
      </c>
      <c r="H5" s="120"/>
      <c r="I5" s="110" t="s">
        <v>2422</v>
      </c>
      <c r="J5" s="110" t="s">
        <v>2371</v>
      </c>
      <c r="K5" s="90" t="str">
        <f>_xlfn.CONCAT(F5, "_", G5)</f>
        <v>Arshad-SQI_2002</v>
      </c>
      <c r="L5" s="79">
        <v>0</v>
      </c>
      <c r="M5" s="79">
        <v>0</v>
      </c>
      <c r="N5" s="79">
        <v>1</v>
      </c>
      <c r="O5" s="81">
        <f>SUM(L5:N5)</f>
        <v>1</v>
      </c>
      <c r="Q5" s="90"/>
      <c r="R5" s="79"/>
      <c r="S5" s="79"/>
      <c r="T5" s="79"/>
      <c r="V5" s="102"/>
      <c r="W5" s="79"/>
      <c r="X5" s="79"/>
      <c r="Y5" s="79"/>
    </row>
    <row r="6" spans="1:25" ht="15.6">
      <c r="A6" s="78">
        <v>1</v>
      </c>
      <c r="B6" s="79" t="s">
        <v>76</v>
      </c>
      <c r="C6" s="79" t="s">
        <v>77</v>
      </c>
      <c r="D6" s="83" t="s">
        <v>2326</v>
      </c>
      <c r="E6" s="90">
        <v>2002</v>
      </c>
      <c r="F6" s="79" t="s">
        <v>76</v>
      </c>
      <c r="G6" s="90">
        <v>2002</v>
      </c>
      <c r="H6" s="120"/>
      <c r="I6" s="110" t="s">
        <v>2425</v>
      </c>
      <c r="J6" s="110" t="s">
        <v>593</v>
      </c>
      <c r="K6" s="90" t="str">
        <f>_xlfn.CONCAT(F6, "_", G6)</f>
        <v>Permaculture_2002</v>
      </c>
      <c r="L6" s="79">
        <v>1</v>
      </c>
      <c r="M6" s="79">
        <v>0</v>
      </c>
      <c r="N6" s="79">
        <v>0</v>
      </c>
      <c r="O6" s="81">
        <f>SUM(L6:N6)</f>
        <v>1</v>
      </c>
      <c r="Q6" s="90"/>
      <c r="R6" s="79"/>
      <c r="S6" s="79"/>
      <c r="T6" s="79"/>
      <c r="V6" s="103"/>
      <c r="W6" s="79"/>
      <c r="X6" s="79"/>
      <c r="Y6" s="79"/>
    </row>
    <row r="7" spans="1:25" ht="15.6">
      <c r="A7" s="78">
        <v>1</v>
      </c>
      <c r="B7" s="79" t="s">
        <v>12</v>
      </c>
      <c r="C7" s="79" t="s">
        <v>13</v>
      </c>
      <c r="D7" s="79" t="s">
        <v>2310</v>
      </c>
      <c r="E7" s="89">
        <v>2002</v>
      </c>
      <c r="F7" s="79" t="s">
        <v>12</v>
      </c>
      <c r="G7" s="89">
        <v>2002</v>
      </c>
      <c r="H7" s="120"/>
      <c r="I7" s="110" t="s">
        <v>2434</v>
      </c>
      <c r="J7" s="110" t="s">
        <v>2395</v>
      </c>
      <c r="K7" s="90" t="str">
        <f>_xlfn.CONCAT(F7, "_", G7)</f>
        <v>MESMIS_2002</v>
      </c>
      <c r="L7" s="79">
        <v>1</v>
      </c>
      <c r="M7" s="79">
        <v>1</v>
      </c>
      <c r="N7" s="79">
        <v>1</v>
      </c>
      <c r="O7" s="81">
        <f>SUM(L7:N7)</f>
        <v>3</v>
      </c>
      <c r="Q7" s="89"/>
      <c r="R7" s="79"/>
      <c r="S7" s="79"/>
      <c r="T7" s="79"/>
      <c r="V7" s="103"/>
      <c r="W7" s="79"/>
      <c r="X7" s="79"/>
      <c r="Y7" s="79"/>
    </row>
    <row r="8" spans="1:25" ht="15.6">
      <c r="A8" s="78">
        <v>1</v>
      </c>
      <c r="B8" s="79" t="s">
        <v>20</v>
      </c>
      <c r="C8" s="79" t="s">
        <v>21</v>
      </c>
      <c r="D8" s="79" t="s">
        <v>2274</v>
      </c>
      <c r="E8" s="89">
        <v>2003</v>
      </c>
      <c r="F8" s="79" t="s">
        <v>20</v>
      </c>
      <c r="G8" s="89">
        <v>2003</v>
      </c>
      <c r="H8" s="120"/>
      <c r="I8" s="110" t="s">
        <v>2458</v>
      </c>
      <c r="J8" s="110" t="s">
        <v>2379</v>
      </c>
      <c r="K8" s="90" t="str">
        <f>_xlfn.CONCAT(F8, "_", G8)</f>
        <v>CAADP_2003</v>
      </c>
      <c r="L8" s="79">
        <v>1</v>
      </c>
      <c r="M8" s="79">
        <v>1</v>
      </c>
      <c r="N8" s="79">
        <v>0</v>
      </c>
      <c r="O8" s="81">
        <f>SUM(L8:N8)</f>
        <v>2</v>
      </c>
      <c r="Q8" s="89"/>
      <c r="R8" s="79"/>
      <c r="S8" s="79"/>
      <c r="T8" s="79"/>
      <c r="V8" s="103"/>
      <c r="W8" s="79"/>
      <c r="X8" s="79"/>
      <c r="Y8" s="79"/>
    </row>
    <row r="9" spans="1:25" ht="15.6">
      <c r="A9" s="78">
        <v>1</v>
      </c>
      <c r="B9" s="79" t="s">
        <v>36</v>
      </c>
      <c r="C9" s="78" t="s">
        <v>119</v>
      </c>
      <c r="D9" s="83" t="s">
        <v>2271</v>
      </c>
      <c r="E9" s="90">
        <v>2004</v>
      </c>
      <c r="F9" s="79" t="s">
        <v>36</v>
      </c>
      <c r="G9" s="90">
        <v>2004</v>
      </c>
      <c r="H9" s="120"/>
      <c r="I9" s="110" t="s">
        <v>2418</v>
      </c>
      <c r="J9" s="110" t="s">
        <v>2363</v>
      </c>
      <c r="K9" s="90" t="str">
        <f>_xlfn.CONCAT(F9, "_", G9)</f>
        <v>Andrews-SMAF_2004</v>
      </c>
      <c r="L9" s="79">
        <v>1</v>
      </c>
      <c r="M9" s="79">
        <v>0</v>
      </c>
      <c r="N9" s="79">
        <v>1</v>
      </c>
      <c r="O9" s="81">
        <f>SUM(L9:N9)</f>
        <v>2</v>
      </c>
      <c r="Q9" s="90"/>
      <c r="R9" s="79"/>
      <c r="S9" s="79"/>
      <c r="T9" s="79"/>
      <c r="V9" s="103"/>
      <c r="W9" s="79"/>
      <c r="X9" s="79"/>
      <c r="Y9" s="79"/>
    </row>
    <row r="10" spans="1:25" ht="15.6">
      <c r="A10" s="78">
        <v>1</v>
      </c>
      <c r="B10" s="79" t="s">
        <v>60</v>
      </c>
      <c r="C10" s="78" t="s">
        <v>2267</v>
      </c>
      <c r="D10" s="79" t="s">
        <v>2332</v>
      </c>
      <c r="E10" s="89">
        <v>2004</v>
      </c>
      <c r="F10" s="79" t="s">
        <v>60</v>
      </c>
      <c r="G10" s="89">
        <v>2004</v>
      </c>
      <c r="H10" s="120"/>
      <c r="I10" s="119" t="s">
        <v>2459</v>
      </c>
      <c r="J10" s="119" t="s">
        <v>2381</v>
      </c>
      <c r="K10" s="90" t="str">
        <f>_xlfn.CONCAT(F10, "_", G10)</f>
        <v>WRI-EHWB_2004</v>
      </c>
      <c r="L10" s="79">
        <v>1</v>
      </c>
      <c r="M10" s="79">
        <v>0</v>
      </c>
      <c r="N10" s="79">
        <v>1</v>
      </c>
      <c r="O10" s="81">
        <f>SUM(L10:N10)</f>
        <v>2</v>
      </c>
      <c r="Q10" s="89"/>
      <c r="R10" s="79"/>
      <c r="S10" s="79"/>
      <c r="T10" s="79"/>
      <c r="V10" s="103"/>
      <c r="W10" s="79"/>
      <c r="X10" s="79"/>
      <c r="Y10" s="79"/>
    </row>
    <row r="11" spans="1:25" ht="20.399999999999999">
      <c r="A11" s="78">
        <v>1</v>
      </c>
      <c r="B11" s="79" t="s">
        <v>10</v>
      </c>
      <c r="C11" s="79" t="s">
        <v>11</v>
      </c>
      <c r="D11" s="83" t="s">
        <v>2324</v>
      </c>
      <c r="E11" s="90">
        <v>2005</v>
      </c>
      <c r="F11" s="79" t="s">
        <v>10</v>
      </c>
      <c r="G11" s="90">
        <v>2005</v>
      </c>
      <c r="H11" s="120"/>
      <c r="I11" s="110" t="s">
        <v>2427</v>
      </c>
      <c r="J11" s="110" t="s">
        <v>2380</v>
      </c>
      <c r="K11" s="90" t="str">
        <f>_xlfn.CONCAT(F11, "_", G11)</f>
        <v>MEA_2005</v>
      </c>
      <c r="L11" s="79">
        <v>1</v>
      </c>
      <c r="M11" s="79">
        <v>1</v>
      </c>
      <c r="N11" s="79">
        <v>1</v>
      </c>
      <c r="O11" s="81">
        <f>SUM(L11:N11)</f>
        <v>3</v>
      </c>
      <c r="Q11" s="90"/>
      <c r="R11" s="79"/>
      <c r="S11" s="79"/>
      <c r="T11" s="79"/>
      <c r="V11" s="103"/>
      <c r="W11" s="79"/>
      <c r="X11" s="79"/>
      <c r="Y11" s="79"/>
    </row>
    <row r="12" spans="1:25" ht="15.6">
      <c r="A12" s="78">
        <v>1</v>
      </c>
      <c r="B12" s="79" t="s">
        <v>86</v>
      </c>
      <c r="C12" s="79" t="s">
        <v>2328</v>
      </c>
      <c r="D12" s="83" t="s">
        <v>86</v>
      </c>
      <c r="E12" s="90">
        <v>2009</v>
      </c>
      <c r="F12" s="79" t="s">
        <v>86</v>
      </c>
      <c r="G12" s="90">
        <v>2009</v>
      </c>
      <c r="H12" s="120"/>
      <c r="I12" s="110" t="s">
        <v>2447</v>
      </c>
      <c r="J12" s="110" t="s">
        <v>2358</v>
      </c>
      <c r="K12" s="90" t="str">
        <f>_xlfn.CONCAT(F12, "_", G12)</f>
        <v>TEEB_2009</v>
      </c>
      <c r="L12" s="79">
        <v>1</v>
      </c>
      <c r="M12" s="79">
        <v>0</v>
      </c>
      <c r="N12" s="79">
        <v>0</v>
      </c>
      <c r="O12" s="81">
        <f>SUM(L12:N12)</f>
        <v>1</v>
      </c>
      <c r="Q12" s="90"/>
      <c r="R12" s="79"/>
      <c r="S12" s="79"/>
      <c r="T12" s="79"/>
      <c r="V12" s="103"/>
      <c r="W12" s="78"/>
      <c r="X12" s="78"/>
      <c r="Y12" s="78"/>
    </row>
    <row r="13" spans="1:25" ht="15.6">
      <c r="A13" s="78">
        <v>1</v>
      </c>
      <c r="B13" s="79" t="s">
        <v>46</v>
      </c>
      <c r="C13" s="79" t="s">
        <v>47</v>
      </c>
      <c r="D13" s="83" t="s">
        <v>2302</v>
      </c>
      <c r="E13" s="90">
        <v>2009</v>
      </c>
      <c r="F13" s="79" t="s">
        <v>46</v>
      </c>
      <c r="G13" s="90">
        <v>2009</v>
      </c>
      <c r="H13" s="120"/>
      <c r="I13" s="119" t="s">
        <v>2417</v>
      </c>
      <c r="J13" s="119" t="s">
        <v>2361</v>
      </c>
      <c r="K13" s="90" t="str">
        <f>_xlfn.CONCAT(F13, "_", G13)</f>
        <v>IFA-G4RNutStewF_2009</v>
      </c>
      <c r="L13" s="79">
        <v>1</v>
      </c>
      <c r="M13" s="79">
        <v>0</v>
      </c>
      <c r="N13" s="79">
        <v>1</v>
      </c>
      <c r="O13" s="81">
        <f>SUM(L13:N13)</f>
        <v>2</v>
      </c>
      <c r="Q13" s="90"/>
      <c r="R13" s="79"/>
      <c r="S13" s="79"/>
      <c r="T13" s="79"/>
      <c r="V13" s="102"/>
      <c r="W13" s="79"/>
      <c r="X13" s="79"/>
      <c r="Y13" s="79"/>
    </row>
    <row r="14" spans="1:25" ht="15.6">
      <c r="A14" s="78">
        <v>1</v>
      </c>
      <c r="B14" s="79" t="s">
        <v>2</v>
      </c>
      <c r="C14" s="79" t="s">
        <v>3</v>
      </c>
      <c r="D14" s="79" t="s">
        <v>2290</v>
      </c>
      <c r="E14" s="89">
        <v>2009</v>
      </c>
      <c r="F14" s="79" t="s">
        <v>2</v>
      </c>
      <c r="G14" s="89">
        <v>2009</v>
      </c>
      <c r="H14" s="120"/>
      <c r="I14" s="110" t="s">
        <v>2424</v>
      </c>
      <c r="J14" s="110" t="s">
        <v>2375</v>
      </c>
      <c r="K14" s="90" t="str">
        <f>_xlfn.CONCAT(F14, "_", G14)</f>
        <v>CIAT-ISFM_2009</v>
      </c>
      <c r="L14" s="79">
        <v>1</v>
      </c>
      <c r="M14" s="79">
        <v>1</v>
      </c>
      <c r="N14" s="79">
        <v>1</v>
      </c>
      <c r="O14" s="81">
        <f>SUM(L14:N14)</f>
        <v>3</v>
      </c>
      <c r="Q14" s="89"/>
      <c r="R14" s="79"/>
      <c r="S14" s="79"/>
      <c r="T14" s="79"/>
      <c r="V14" s="102"/>
      <c r="W14" s="79"/>
      <c r="X14" s="79"/>
      <c r="Y14" s="79"/>
    </row>
    <row r="15" spans="1:25" ht="15.6">
      <c r="A15" s="78">
        <v>1</v>
      </c>
      <c r="B15" s="79" t="s">
        <v>90</v>
      </c>
      <c r="C15" s="79" t="s">
        <v>91</v>
      </c>
      <c r="D15" s="79" t="s">
        <v>2272</v>
      </c>
      <c r="E15" s="89">
        <v>2010</v>
      </c>
      <c r="F15" s="79" t="s">
        <v>90</v>
      </c>
      <c r="G15" s="89">
        <v>2010</v>
      </c>
      <c r="H15" s="121" t="s">
        <v>2488</v>
      </c>
      <c r="I15" s="110" t="s">
        <v>2464</v>
      </c>
      <c r="J15" s="110" t="s">
        <v>2392</v>
      </c>
      <c r="K15" s="90" t="str">
        <f>_xlfn.CONCAT(F15, "_", G15)</f>
        <v>Birner-PEPSA_2010</v>
      </c>
      <c r="L15" s="79">
        <v>0</v>
      </c>
      <c r="M15" s="79">
        <v>1</v>
      </c>
      <c r="N15" s="79">
        <v>0</v>
      </c>
      <c r="O15" s="81">
        <f>SUM(L15:N15)</f>
        <v>1</v>
      </c>
      <c r="R15" s="79"/>
      <c r="S15" s="79"/>
      <c r="T15" s="79"/>
      <c r="V15" s="103"/>
      <c r="W15" s="79"/>
      <c r="X15" s="79"/>
      <c r="Y15" s="79"/>
    </row>
    <row r="16" spans="1:25" ht="15.6">
      <c r="A16" s="78">
        <v>1</v>
      </c>
      <c r="B16" s="79" t="s">
        <v>82</v>
      </c>
      <c r="C16" s="79" t="s">
        <v>83</v>
      </c>
      <c r="D16" s="79" t="s">
        <v>2304</v>
      </c>
      <c r="E16" s="89">
        <v>2013</v>
      </c>
      <c r="F16" s="79" t="s">
        <v>82</v>
      </c>
      <c r="G16" s="89">
        <v>2013</v>
      </c>
      <c r="H16" s="121"/>
      <c r="I16" s="110" t="s">
        <v>2461</v>
      </c>
      <c r="J16" s="110" t="s">
        <v>2483</v>
      </c>
      <c r="K16" s="90" t="str">
        <f>_xlfn.CONCAT(F16, "_", G16)</f>
        <v>Sayer_LA_2013</v>
      </c>
      <c r="L16" s="79">
        <v>1</v>
      </c>
      <c r="M16" s="79">
        <v>0</v>
      </c>
      <c r="N16" s="79">
        <v>0</v>
      </c>
      <c r="O16" s="81">
        <f>SUM(L16:N16)</f>
        <v>1</v>
      </c>
      <c r="Q16" s="89"/>
      <c r="R16" s="79"/>
      <c r="S16" s="79"/>
      <c r="T16" s="79"/>
    </row>
    <row r="17" spans="1:20" ht="15.6">
      <c r="A17" s="78">
        <v>1</v>
      </c>
      <c r="B17" s="79" t="s">
        <v>62</v>
      </c>
      <c r="C17" s="79" t="s">
        <v>63</v>
      </c>
      <c r="D17" s="79" t="s">
        <v>2270</v>
      </c>
      <c r="E17" s="89">
        <v>2014</v>
      </c>
      <c r="F17" s="79" t="s">
        <v>62</v>
      </c>
      <c r="G17" s="89">
        <v>2014</v>
      </c>
      <c r="H17" s="121"/>
      <c r="I17" s="110" t="s">
        <v>2463</v>
      </c>
      <c r="J17" s="110" t="s">
        <v>2390</v>
      </c>
      <c r="K17" s="90" t="str">
        <f>_xlfn.CONCAT(F17, "_", G17)</f>
        <v>4RNS-INUE_2014</v>
      </c>
      <c r="L17" s="79">
        <v>1</v>
      </c>
      <c r="M17" s="79">
        <v>0</v>
      </c>
      <c r="N17" s="79">
        <v>0</v>
      </c>
      <c r="O17" s="81">
        <f>SUM(L17:N17)</f>
        <v>1</v>
      </c>
      <c r="Q17" s="89"/>
      <c r="R17" s="79"/>
      <c r="S17" s="79"/>
      <c r="T17" s="79"/>
    </row>
    <row r="18" spans="1:20" ht="15.6">
      <c r="A18" s="78">
        <v>1</v>
      </c>
      <c r="B18" s="79" t="s">
        <v>102</v>
      </c>
      <c r="C18" s="79" t="s">
        <v>103</v>
      </c>
      <c r="D18" s="94" t="s">
        <v>2289</v>
      </c>
      <c r="E18" s="92">
        <v>2015</v>
      </c>
      <c r="F18" s="79" t="s">
        <v>102</v>
      </c>
      <c r="G18" s="92">
        <v>2015</v>
      </c>
      <c r="H18" s="121"/>
      <c r="I18" s="110" t="s">
        <v>2472</v>
      </c>
      <c r="J18" s="110" t="s">
        <v>2408</v>
      </c>
      <c r="K18" s="90" t="str">
        <f>_xlfn.CONCAT(F18, "_", G18)</f>
        <v>CAADPresult_2015</v>
      </c>
      <c r="L18" s="79">
        <v>0</v>
      </c>
      <c r="M18" s="79">
        <v>0</v>
      </c>
      <c r="N18" s="79">
        <v>1</v>
      </c>
      <c r="O18" s="81">
        <f>SUM(L18:N18)</f>
        <v>1</v>
      </c>
      <c r="Q18" s="92"/>
      <c r="R18" s="79"/>
      <c r="S18" s="79"/>
      <c r="T18" s="79"/>
    </row>
    <row r="19" spans="1:20" ht="15.6">
      <c r="A19" s="78">
        <v>1</v>
      </c>
      <c r="B19" s="79" t="s">
        <v>48</v>
      </c>
      <c r="C19" s="79" t="s">
        <v>2264</v>
      </c>
      <c r="D19" s="79" t="s">
        <v>2292</v>
      </c>
      <c r="E19" s="89">
        <v>2015</v>
      </c>
      <c r="F19" s="79" t="s">
        <v>48</v>
      </c>
      <c r="G19" s="89">
        <v>2015</v>
      </c>
      <c r="H19" s="121"/>
      <c r="I19" s="110" t="s">
        <v>2470</v>
      </c>
      <c r="J19" s="110" t="s">
        <v>2403</v>
      </c>
      <c r="K19" s="90" t="str">
        <f>_xlfn.CONCAT(F19, "_", G19)</f>
        <v>IPES-FOOD_2015</v>
      </c>
      <c r="L19" s="79">
        <v>1</v>
      </c>
      <c r="M19" s="79">
        <v>0</v>
      </c>
      <c r="N19" s="79">
        <v>1</v>
      </c>
      <c r="O19" s="81">
        <f>SUM(L19:N19)</f>
        <v>2</v>
      </c>
      <c r="Q19" s="89"/>
      <c r="R19" s="79"/>
      <c r="S19" s="79"/>
      <c r="T19" s="79"/>
    </row>
    <row r="20" spans="1:20" ht="15.6">
      <c r="A20" s="78">
        <v>1</v>
      </c>
      <c r="B20" s="79" t="s">
        <v>104</v>
      </c>
      <c r="C20" s="79" t="s">
        <v>2286</v>
      </c>
      <c r="D20" s="79" t="s">
        <v>2287</v>
      </c>
      <c r="E20" s="89">
        <v>2016</v>
      </c>
      <c r="F20" s="79" t="s">
        <v>104</v>
      </c>
      <c r="G20" s="89">
        <v>2016</v>
      </c>
      <c r="H20" s="121"/>
      <c r="I20" s="110" t="s">
        <v>2411</v>
      </c>
      <c r="J20" s="110" t="s">
        <v>2349</v>
      </c>
      <c r="K20" s="90" t="str">
        <f>_xlfn.CONCAT(F20, "_", G20)</f>
        <v>Cornell-CASH_2016</v>
      </c>
      <c r="L20" s="79">
        <v>0</v>
      </c>
      <c r="M20" s="79">
        <v>0</v>
      </c>
      <c r="N20" s="79">
        <v>1</v>
      </c>
      <c r="O20" s="81">
        <f>SUM(L20:N20)</f>
        <v>1</v>
      </c>
      <c r="Q20" s="89"/>
      <c r="R20" s="79"/>
      <c r="S20" s="79"/>
      <c r="T20" s="79"/>
    </row>
    <row r="21" spans="1:20" ht="15.6">
      <c r="A21" s="78">
        <v>1</v>
      </c>
      <c r="B21" s="79" t="s">
        <v>115</v>
      </c>
      <c r="C21" s="79" t="s">
        <v>116</v>
      </c>
      <c r="D21" s="79" t="s">
        <v>2293</v>
      </c>
      <c r="E21" s="89">
        <v>2017</v>
      </c>
      <c r="F21" s="79" t="s">
        <v>115</v>
      </c>
      <c r="G21" s="89">
        <v>2017</v>
      </c>
      <c r="H21" s="121" t="s">
        <v>2489</v>
      </c>
      <c r="I21" s="110" t="s">
        <v>2445</v>
      </c>
      <c r="J21" s="110" t="s">
        <v>2354</v>
      </c>
      <c r="K21" s="90" t="str">
        <f>_xlfn.CONCAT(F21, "_", G21)</f>
        <v>FtF_GSIAF_2017</v>
      </c>
      <c r="L21" s="79">
        <v>0</v>
      </c>
      <c r="M21" s="79">
        <v>0</v>
      </c>
      <c r="N21" s="79">
        <v>1</v>
      </c>
      <c r="O21" s="81">
        <f>SUM(L21:N21)</f>
        <v>1</v>
      </c>
      <c r="Q21" s="89"/>
      <c r="R21" s="79"/>
      <c r="S21" s="79"/>
      <c r="T21" s="79"/>
    </row>
    <row r="22" spans="1:20" ht="15.6">
      <c r="A22" s="78">
        <v>1</v>
      </c>
      <c r="B22" s="79" t="s">
        <v>52</v>
      </c>
      <c r="C22" s="78" t="s">
        <v>2309</v>
      </c>
      <c r="D22" s="79" t="s">
        <v>2308</v>
      </c>
      <c r="E22" s="89">
        <v>2017</v>
      </c>
      <c r="F22" s="79" t="s">
        <v>52</v>
      </c>
      <c r="G22" s="89">
        <v>2017</v>
      </c>
      <c r="H22" s="121"/>
      <c r="I22" s="110" t="s">
        <v>2468</v>
      </c>
      <c r="J22" s="110" t="s">
        <v>2400</v>
      </c>
      <c r="K22" s="90" t="str">
        <f>_xlfn.CONCAT(F22, "_", G22)</f>
        <v>UNCCD-ILM_2017</v>
      </c>
      <c r="L22" s="79">
        <v>1</v>
      </c>
      <c r="M22" s="79">
        <v>0</v>
      </c>
      <c r="N22" s="79">
        <v>1</v>
      </c>
      <c r="O22" s="81">
        <f>SUM(L22:N22)</f>
        <v>2</v>
      </c>
      <c r="Q22" s="89"/>
      <c r="R22" s="79"/>
      <c r="S22" s="79"/>
      <c r="T22" s="79"/>
    </row>
    <row r="23" spans="1:20" ht="15.6">
      <c r="A23" s="78">
        <v>1</v>
      </c>
      <c r="B23" s="79" t="s">
        <v>26</v>
      </c>
      <c r="C23" s="79" t="s">
        <v>27</v>
      </c>
      <c r="D23" s="79" t="s">
        <v>2279</v>
      </c>
      <c r="E23" s="89">
        <v>2017</v>
      </c>
      <c r="F23" s="79" t="s">
        <v>26</v>
      </c>
      <c r="G23" s="89">
        <v>2017</v>
      </c>
      <c r="H23" s="121"/>
      <c r="I23" s="110" t="s">
        <v>2460</v>
      </c>
      <c r="J23" s="110" t="s">
        <v>2383</v>
      </c>
      <c r="K23" s="90" t="str">
        <f>_xlfn.CONCAT(F23, "_", G23)</f>
        <v>FAO-ALMSFA_2017</v>
      </c>
      <c r="L23" s="79">
        <v>1</v>
      </c>
      <c r="M23" s="79">
        <v>1</v>
      </c>
      <c r="N23" s="79">
        <v>0</v>
      </c>
      <c r="O23" s="81">
        <f>SUM(L23:N23)</f>
        <v>2</v>
      </c>
      <c r="Q23" s="89"/>
      <c r="R23" s="79"/>
      <c r="S23" s="79"/>
      <c r="T23" s="79"/>
    </row>
    <row r="24" spans="1:20" ht="15.6">
      <c r="A24" s="78">
        <v>1</v>
      </c>
      <c r="B24" s="79" t="s">
        <v>28</v>
      </c>
      <c r="C24" s="79" t="s">
        <v>29</v>
      </c>
      <c r="D24" s="79" t="s">
        <v>2279</v>
      </c>
      <c r="E24" s="89">
        <v>2017</v>
      </c>
      <c r="F24" s="79" t="s">
        <v>28</v>
      </c>
      <c r="G24" s="89">
        <v>2017</v>
      </c>
      <c r="H24" s="121"/>
      <c r="I24" s="110" t="s">
        <v>2415</v>
      </c>
      <c r="J24" s="110" t="s">
        <v>2357</v>
      </c>
      <c r="K24" s="90" t="str">
        <f>_xlfn.CONCAT(F24, "_", G24)</f>
        <v>FAO-VGSSM_2017</v>
      </c>
      <c r="L24" s="79">
        <v>1</v>
      </c>
      <c r="M24" s="79">
        <v>1</v>
      </c>
      <c r="N24" s="79">
        <v>0</v>
      </c>
      <c r="O24" s="81">
        <f>SUM(L24:N24)</f>
        <v>2</v>
      </c>
      <c r="Q24" s="89"/>
      <c r="R24" s="79"/>
      <c r="S24" s="79"/>
      <c r="T24" s="79"/>
    </row>
    <row r="25" spans="1:20" ht="15.6">
      <c r="A25" s="78">
        <v>1</v>
      </c>
      <c r="B25" s="79" t="s">
        <v>50</v>
      </c>
      <c r="C25" s="79" t="s">
        <v>55</v>
      </c>
      <c r="D25" s="83" t="s">
        <v>2295</v>
      </c>
      <c r="E25" s="90">
        <v>2018</v>
      </c>
      <c r="F25" s="79" t="s">
        <v>50</v>
      </c>
      <c r="G25" s="90">
        <v>2018</v>
      </c>
      <c r="H25" s="121"/>
      <c r="I25" s="110" t="s">
        <v>2432</v>
      </c>
      <c r="J25" s="110" t="s">
        <v>2391</v>
      </c>
      <c r="K25" s="90" t="str">
        <f>_xlfn.CONCAT(F25, "_", G25)</f>
        <v>LDN_CF_journal_2018</v>
      </c>
      <c r="L25" s="79">
        <v>1</v>
      </c>
      <c r="M25" s="79">
        <v>0</v>
      </c>
      <c r="N25" s="79">
        <v>1</v>
      </c>
      <c r="O25" s="81">
        <f>SUM(L25:N25)</f>
        <v>2</v>
      </c>
      <c r="Q25" s="90"/>
      <c r="R25" s="79"/>
      <c r="S25" s="79"/>
      <c r="T25" s="79"/>
    </row>
    <row r="26" spans="1:20" ht="15.6">
      <c r="A26" s="78">
        <v>1</v>
      </c>
      <c r="B26" s="79" t="s">
        <v>54</v>
      </c>
      <c r="C26" s="79" t="s">
        <v>51</v>
      </c>
      <c r="D26" s="83" t="s">
        <v>2308</v>
      </c>
      <c r="E26" s="90">
        <v>2018</v>
      </c>
      <c r="F26" s="79" t="s">
        <v>54</v>
      </c>
      <c r="G26" s="90">
        <v>2018</v>
      </c>
      <c r="H26" s="121"/>
      <c r="I26" s="110" t="s">
        <v>2432</v>
      </c>
      <c r="J26" s="110" t="s">
        <v>2384</v>
      </c>
      <c r="K26" s="90" t="str">
        <f>_xlfn.CONCAT(F26, "_", G26)</f>
        <v>UNCCD-LDN_2018</v>
      </c>
      <c r="L26" s="79">
        <v>1</v>
      </c>
      <c r="M26" s="79">
        <v>0</v>
      </c>
      <c r="N26" s="79">
        <v>1</v>
      </c>
      <c r="O26" s="81">
        <f>SUM(L26:N26)</f>
        <v>2</v>
      </c>
      <c r="Q26" s="90"/>
      <c r="R26" s="79"/>
      <c r="S26" s="79"/>
      <c r="T26" s="79"/>
    </row>
    <row r="27" spans="1:20" ht="20.399999999999999">
      <c r="A27" s="78">
        <v>1</v>
      </c>
      <c r="B27" s="79" t="s">
        <v>4</v>
      </c>
      <c r="C27" s="79" t="s">
        <v>5</v>
      </c>
      <c r="D27" s="94" t="s">
        <v>2288</v>
      </c>
      <c r="E27" s="89">
        <v>2018</v>
      </c>
      <c r="F27" s="79" t="s">
        <v>4</v>
      </c>
      <c r="G27" s="89">
        <v>2018</v>
      </c>
      <c r="H27" s="121"/>
      <c r="I27" s="110" t="s">
        <v>2431</v>
      </c>
      <c r="J27" s="110" t="s">
        <v>2389</v>
      </c>
      <c r="K27" s="90" t="str">
        <f>_xlfn.CONCAT(F27, "_", G27)</f>
        <v>CICES_2018</v>
      </c>
      <c r="L27" s="79">
        <v>1</v>
      </c>
      <c r="M27" s="79">
        <v>1</v>
      </c>
      <c r="N27" s="79">
        <v>1</v>
      </c>
      <c r="O27" s="81">
        <f>SUM(L27:N27)</f>
        <v>3</v>
      </c>
      <c r="Q27" s="90"/>
      <c r="R27" s="79"/>
      <c r="S27" s="79"/>
      <c r="T27" s="79"/>
    </row>
    <row r="28" spans="1:20" ht="15.6">
      <c r="A28" s="78">
        <v>1</v>
      </c>
      <c r="B28" s="79" t="s">
        <v>16</v>
      </c>
      <c r="C28" s="79" t="s">
        <v>17</v>
      </c>
      <c r="D28" s="83" t="s">
        <v>2300</v>
      </c>
      <c r="E28" s="90">
        <v>2018</v>
      </c>
      <c r="F28" s="79" t="s">
        <v>16</v>
      </c>
      <c r="G28" s="90">
        <v>2018</v>
      </c>
      <c r="H28" s="121"/>
      <c r="I28" s="110" t="s">
        <v>2421</v>
      </c>
      <c r="J28" s="110" t="s">
        <v>2369</v>
      </c>
      <c r="K28" s="90" t="str">
        <f>_xlfn.CONCAT(F28, "_", G28)</f>
        <v>Stockdale-CFMSH_2018</v>
      </c>
      <c r="L28" s="79">
        <v>1</v>
      </c>
      <c r="M28" s="79">
        <v>1</v>
      </c>
      <c r="N28" s="79">
        <v>1</v>
      </c>
      <c r="O28" s="81">
        <f>SUM(L28:N28)</f>
        <v>3</v>
      </c>
      <c r="Q28" s="98"/>
      <c r="R28" s="97"/>
      <c r="S28" s="97"/>
      <c r="T28" s="97"/>
    </row>
    <row r="29" spans="1:20" ht="15.6">
      <c r="A29" s="78">
        <v>1</v>
      </c>
      <c r="B29" s="79" t="s">
        <v>113</v>
      </c>
      <c r="C29" s="79" t="s">
        <v>114</v>
      </c>
      <c r="D29" s="79" t="s">
        <v>2279</v>
      </c>
      <c r="E29" s="89">
        <v>2019</v>
      </c>
      <c r="F29" s="79" t="s">
        <v>113</v>
      </c>
      <c r="G29" s="89">
        <v>2019</v>
      </c>
      <c r="H29" s="121"/>
      <c r="I29" s="110" t="s">
        <v>2457</v>
      </c>
      <c r="J29" s="110" t="s">
        <v>2377</v>
      </c>
      <c r="K29" s="90" t="str">
        <f>_xlfn.CONCAT(F29, "_", G29)</f>
        <v>FAO-TAPE_2019</v>
      </c>
      <c r="L29" s="79">
        <v>0</v>
      </c>
      <c r="M29" s="79">
        <v>0</v>
      </c>
      <c r="N29" s="79">
        <v>1</v>
      </c>
      <c r="O29" s="81">
        <f>SUM(L29:N29)</f>
        <v>1</v>
      </c>
      <c r="Q29" s="89"/>
      <c r="R29" s="79"/>
      <c r="S29" s="79"/>
      <c r="T29" s="79"/>
    </row>
    <row r="30" spans="1:20" ht="15.6">
      <c r="A30" s="96">
        <v>1</v>
      </c>
      <c r="B30" s="97" t="s">
        <v>84</v>
      </c>
      <c r="C30" s="96" t="s">
        <v>85</v>
      </c>
      <c r="D30" s="99" t="s">
        <v>2307</v>
      </c>
      <c r="E30" s="98">
        <v>2019</v>
      </c>
      <c r="F30" s="97" t="s">
        <v>84</v>
      </c>
      <c r="G30" s="98">
        <v>2019</v>
      </c>
      <c r="H30" s="121"/>
      <c r="I30" s="110" t="s">
        <v>2452</v>
      </c>
      <c r="J30" s="110" t="s">
        <v>2368</v>
      </c>
      <c r="K30" s="90" t="str">
        <f>_xlfn.CONCAT(F30, "_", G30)</f>
        <v>Steve-AESSHF_2019</v>
      </c>
      <c r="L30" s="97">
        <v>1</v>
      </c>
      <c r="M30" s="97">
        <v>0</v>
      </c>
      <c r="N30" s="97">
        <v>0</v>
      </c>
      <c r="O30" s="81">
        <f>SUM(L30:N30)</f>
        <v>1</v>
      </c>
      <c r="Q30" s="89"/>
      <c r="R30" s="79"/>
      <c r="S30" s="79"/>
      <c r="T30" s="79"/>
    </row>
    <row r="31" spans="1:20" ht="15.6">
      <c r="A31" s="78">
        <v>1</v>
      </c>
      <c r="B31" s="79" t="s">
        <v>107</v>
      </c>
      <c r="C31" s="78" t="s">
        <v>108</v>
      </c>
      <c r="D31" s="83" t="s">
        <v>2285</v>
      </c>
      <c r="E31" s="90">
        <v>2020</v>
      </c>
      <c r="F31" s="79" t="s">
        <v>107</v>
      </c>
      <c r="G31" s="90">
        <v>2020</v>
      </c>
      <c r="H31" s="121"/>
      <c r="I31" s="110" t="s">
        <v>2423</v>
      </c>
      <c r="J31" s="110" t="s">
        <v>2373</v>
      </c>
      <c r="K31" s="90" t="str">
        <f>_xlfn.CONCAT(F31, "_", G31)</f>
        <v>Devine-RSCFISH_2020</v>
      </c>
      <c r="L31" s="79">
        <v>0</v>
      </c>
      <c r="M31" s="79">
        <v>0</v>
      </c>
      <c r="N31" s="79">
        <v>1</v>
      </c>
      <c r="O31" s="81">
        <f>SUM(L31:N31)</f>
        <v>1</v>
      </c>
      <c r="Q31" s="89"/>
      <c r="R31" s="79"/>
      <c r="S31" s="79"/>
      <c r="T31" s="79"/>
    </row>
    <row r="32" spans="1:20" ht="15.6">
      <c r="A32" s="78">
        <v>1</v>
      </c>
      <c r="B32" s="79" t="s">
        <v>111</v>
      </c>
      <c r="C32" s="79" t="s">
        <v>112</v>
      </c>
      <c r="D32" s="79" t="s">
        <v>2279</v>
      </c>
      <c r="E32" s="89">
        <v>2020</v>
      </c>
      <c r="F32" s="79" t="s">
        <v>111</v>
      </c>
      <c r="G32" s="89">
        <v>2020</v>
      </c>
      <c r="H32" s="121"/>
      <c r="I32" s="110" t="s">
        <v>2450</v>
      </c>
      <c r="J32" s="110" t="s">
        <v>2364</v>
      </c>
      <c r="K32" s="90" t="str">
        <f>_xlfn.CONCAT(F32, "_", G32)</f>
        <v>FAO-PASSM_2020</v>
      </c>
      <c r="L32" s="79">
        <v>0</v>
      </c>
      <c r="M32" s="79">
        <v>0</v>
      </c>
      <c r="N32" s="79">
        <v>1</v>
      </c>
      <c r="O32" s="81">
        <f>SUM(L32:N32)</f>
        <v>1</v>
      </c>
      <c r="Q32" s="90"/>
      <c r="R32" s="79"/>
      <c r="S32" s="79"/>
      <c r="T32" s="79"/>
    </row>
    <row r="33" spans="1:20" ht="16.2" thickBot="1">
      <c r="A33" s="78">
        <v>1</v>
      </c>
      <c r="B33" s="79" t="s">
        <v>94</v>
      </c>
      <c r="C33" s="79" t="s">
        <v>95</v>
      </c>
      <c r="D33" s="79" t="s">
        <v>2281</v>
      </c>
      <c r="E33" s="89">
        <v>2020</v>
      </c>
      <c r="F33" s="79" t="s">
        <v>94</v>
      </c>
      <c r="G33" s="89">
        <v>2020</v>
      </c>
      <c r="H33" s="121"/>
      <c r="I33" s="111" t="s">
        <v>2456</v>
      </c>
      <c r="J33" s="111" t="s">
        <v>2376</v>
      </c>
      <c r="K33" s="90" t="str">
        <f>_xlfn.CONCAT(F33, "_", G33)</f>
        <v>FAO-ESFS_2020</v>
      </c>
      <c r="L33" s="79">
        <v>0</v>
      </c>
      <c r="M33" s="79">
        <v>1</v>
      </c>
      <c r="N33" s="79">
        <v>0</v>
      </c>
      <c r="O33" s="81">
        <f>SUM(L33:N33)</f>
        <v>1</v>
      </c>
      <c r="Q33" s="89"/>
      <c r="R33" s="79"/>
      <c r="S33" s="79"/>
      <c r="T33" s="79"/>
    </row>
    <row r="34" spans="1:20" ht="15.6">
      <c r="A34" s="78">
        <v>1</v>
      </c>
      <c r="B34" s="79" t="s">
        <v>88</v>
      </c>
      <c r="C34" s="78" t="s">
        <v>89</v>
      </c>
      <c r="D34" s="83" t="s">
        <v>2321</v>
      </c>
      <c r="E34" s="90">
        <v>2020</v>
      </c>
      <c r="F34" s="79" t="s">
        <v>88</v>
      </c>
      <c r="G34" s="90">
        <v>2020</v>
      </c>
      <c r="H34" s="121"/>
      <c r="I34" s="110" t="s">
        <v>2454</v>
      </c>
      <c r="J34" s="110" t="s">
        <v>2372</v>
      </c>
      <c r="K34" s="90" t="str">
        <f>_xlfn.CONCAT(F34, "_", G34)</f>
        <v>Jian-DGSHA_2020</v>
      </c>
      <c r="L34" s="79">
        <v>0</v>
      </c>
      <c r="M34" s="79">
        <v>1</v>
      </c>
      <c r="N34" s="79">
        <v>1</v>
      </c>
      <c r="O34" s="81">
        <f>SUM(L34:N34)</f>
        <v>2</v>
      </c>
      <c r="Q34" s="90"/>
      <c r="R34" s="79"/>
      <c r="S34" s="79"/>
      <c r="T34" s="79"/>
    </row>
    <row r="35" spans="1:20" ht="15.6">
      <c r="A35" s="78">
        <v>1</v>
      </c>
      <c r="B35" s="79" t="s">
        <v>66</v>
      </c>
      <c r="C35" s="79" t="s">
        <v>2282</v>
      </c>
      <c r="D35" s="79" t="s">
        <v>2279</v>
      </c>
      <c r="E35" s="89">
        <v>2020</v>
      </c>
      <c r="F35" s="79" t="s">
        <v>66</v>
      </c>
      <c r="G35" s="89">
        <v>2020</v>
      </c>
      <c r="H35" s="121"/>
      <c r="I35" s="110" t="s">
        <v>2444</v>
      </c>
      <c r="J35" s="110" t="s">
        <v>2352</v>
      </c>
      <c r="K35" s="90" t="str">
        <f>_xlfn.CONCAT(F35, "_", G35)</f>
        <v>FAO-agroecology_2020</v>
      </c>
      <c r="L35" s="79">
        <v>1</v>
      </c>
      <c r="M35" s="79">
        <v>0</v>
      </c>
      <c r="N35" s="79">
        <v>0</v>
      </c>
      <c r="O35" s="81">
        <f>SUM(L35:N35)</f>
        <v>1</v>
      </c>
      <c r="Q35" s="89"/>
      <c r="R35" s="79"/>
      <c r="S35" s="79"/>
      <c r="T35" s="79"/>
    </row>
    <row r="36" spans="1:20" ht="15.6">
      <c r="A36" s="78">
        <v>1</v>
      </c>
      <c r="B36" s="79" t="s">
        <v>70</v>
      </c>
      <c r="C36" s="78" t="s">
        <v>2265</v>
      </c>
      <c r="D36" s="79" t="s">
        <v>2299</v>
      </c>
      <c r="E36" s="89">
        <v>2020</v>
      </c>
      <c r="F36" s="79" t="s">
        <v>70</v>
      </c>
      <c r="G36" s="89">
        <v>2020</v>
      </c>
      <c r="H36" s="121"/>
      <c r="I36" s="110" t="s">
        <v>2433</v>
      </c>
      <c r="J36" s="110" t="s">
        <v>2393</v>
      </c>
      <c r="K36" s="90" t="str">
        <f>_xlfn.CONCAT(F36, "_", G36)</f>
        <v>LA4AA_2020</v>
      </c>
      <c r="L36" s="79">
        <v>1</v>
      </c>
      <c r="M36" s="79">
        <v>0</v>
      </c>
      <c r="N36" s="79">
        <v>0</v>
      </c>
      <c r="O36" s="81">
        <f>SUM(L36:N36)</f>
        <v>1</v>
      </c>
      <c r="Q36" s="90"/>
      <c r="R36" s="79"/>
      <c r="S36" s="79"/>
      <c r="T36" s="79"/>
    </row>
    <row r="37" spans="1:20" ht="15.6">
      <c r="A37" s="78">
        <v>1</v>
      </c>
      <c r="B37" s="79" t="s">
        <v>72</v>
      </c>
      <c r="C37" s="79" t="s">
        <v>73</v>
      </c>
      <c r="D37" s="83" t="s">
        <v>2323</v>
      </c>
      <c r="E37" s="90">
        <v>2020</v>
      </c>
      <c r="F37" s="79" t="s">
        <v>72</v>
      </c>
      <c r="G37" s="90">
        <v>2020</v>
      </c>
      <c r="H37" s="121"/>
      <c r="I37" s="110" t="s">
        <v>2420</v>
      </c>
      <c r="J37" s="110" t="s">
        <v>2367</v>
      </c>
      <c r="K37" s="90" t="str">
        <f>_xlfn.CONCAT(F37, "_", G37)</f>
        <v>Lehmann-FPSH_2020</v>
      </c>
      <c r="L37" s="79">
        <v>1</v>
      </c>
      <c r="M37" s="79">
        <v>0</v>
      </c>
      <c r="N37" s="79">
        <v>0</v>
      </c>
      <c r="O37" s="81">
        <f>SUM(L37:N37)</f>
        <v>1</v>
      </c>
      <c r="Q37" s="89"/>
      <c r="R37" s="79"/>
      <c r="S37" s="79"/>
      <c r="T37" s="79"/>
    </row>
    <row r="38" spans="1:20" ht="15.6">
      <c r="A38" s="78">
        <v>1</v>
      </c>
      <c r="B38" s="78" t="s">
        <v>56</v>
      </c>
      <c r="C38" s="78" t="s">
        <v>57</v>
      </c>
      <c r="D38" s="79" t="s">
        <v>2325</v>
      </c>
      <c r="E38" s="89">
        <v>2020</v>
      </c>
      <c r="F38" s="78" t="s">
        <v>56</v>
      </c>
      <c r="G38" s="89">
        <v>2020</v>
      </c>
      <c r="H38" s="121"/>
      <c r="I38" s="110" t="s">
        <v>2453</v>
      </c>
      <c r="J38" s="110" t="s">
        <v>2370</v>
      </c>
      <c r="K38" s="90" t="str">
        <f>_xlfn.CONCAT(F38, "_", G38)</f>
        <v>USDA-CFSHAG_2020</v>
      </c>
      <c r="L38" s="79">
        <v>1</v>
      </c>
      <c r="M38" s="79">
        <v>0</v>
      </c>
      <c r="N38" s="79">
        <v>1</v>
      </c>
      <c r="O38" s="81">
        <f>SUM(L38:N38)</f>
        <v>2</v>
      </c>
      <c r="Q38" s="89"/>
      <c r="R38" s="79"/>
      <c r="S38" s="79"/>
      <c r="T38" s="79"/>
    </row>
    <row r="39" spans="1:20" ht="15.6">
      <c r="A39" s="78">
        <v>1</v>
      </c>
      <c r="B39" s="79" t="s">
        <v>58</v>
      </c>
      <c r="C39" s="79" t="s">
        <v>2266</v>
      </c>
      <c r="D39" s="79" t="s">
        <v>2331</v>
      </c>
      <c r="E39" s="89">
        <v>2020</v>
      </c>
      <c r="F39" s="79" t="s">
        <v>58</v>
      </c>
      <c r="G39" s="89">
        <v>2020</v>
      </c>
      <c r="H39" s="121"/>
      <c r="I39" s="110" t="s">
        <v>2466</v>
      </c>
      <c r="J39" s="110" t="s">
        <v>2396</v>
      </c>
      <c r="K39" s="90" t="str">
        <f>_xlfn.CONCAT(F39, "_", G39)</f>
        <v>Wezel-TAPE_2020</v>
      </c>
      <c r="L39" s="79">
        <v>1</v>
      </c>
      <c r="M39" s="79">
        <v>0</v>
      </c>
      <c r="N39" s="79">
        <v>1</v>
      </c>
      <c r="O39" s="81">
        <f>SUM(L39:N39)</f>
        <v>2</v>
      </c>
      <c r="Q39" s="90"/>
      <c r="R39" s="79"/>
      <c r="S39" s="79"/>
      <c r="T39" s="79"/>
    </row>
    <row r="40" spans="1:20" ht="15.6">
      <c r="A40" s="78">
        <v>1</v>
      </c>
      <c r="B40" s="79" t="s">
        <v>34</v>
      </c>
      <c r="C40" s="79" t="s">
        <v>35</v>
      </c>
      <c r="D40" s="83" t="s">
        <v>2305</v>
      </c>
      <c r="E40" s="90">
        <v>2020</v>
      </c>
      <c r="F40" s="79" t="s">
        <v>34</v>
      </c>
      <c r="G40" s="90">
        <v>2020</v>
      </c>
      <c r="H40" s="121"/>
      <c r="I40" s="110" t="s">
        <v>2465</v>
      </c>
      <c r="J40" s="110" t="s">
        <v>2394</v>
      </c>
      <c r="K40" s="90" t="str">
        <f>_xlfn.CONCAT(F40, "_", G40)</f>
        <v>SI4AF_2020</v>
      </c>
      <c r="L40" s="79">
        <v>1</v>
      </c>
      <c r="M40" s="79">
        <v>1</v>
      </c>
      <c r="N40" s="79">
        <v>0</v>
      </c>
      <c r="O40" s="81">
        <f>SUM(L40:N40)</f>
        <v>2</v>
      </c>
      <c r="Q40" s="90"/>
      <c r="R40" s="79"/>
      <c r="S40" s="79"/>
      <c r="T40" s="79"/>
    </row>
    <row r="41" spans="1:20" ht="15.6">
      <c r="A41" s="78">
        <v>1</v>
      </c>
      <c r="B41" s="79" t="s">
        <v>120</v>
      </c>
      <c r="C41" s="78" t="s">
        <v>121</v>
      </c>
      <c r="D41" s="79" t="s">
        <v>2325</v>
      </c>
      <c r="E41" s="89">
        <v>2021</v>
      </c>
      <c r="F41" s="79" t="s">
        <v>120</v>
      </c>
      <c r="G41" s="89">
        <v>2021</v>
      </c>
      <c r="H41" s="121" t="s">
        <v>2490</v>
      </c>
      <c r="I41" s="110" t="s">
        <v>2451</v>
      </c>
      <c r="J41" s="110" t="s">
        <v>2366</v>
      </c>
      <c r="K41" s="90" t="str">
        <f>_xlfn.CONCAT(F41, "_", G41)</f>
        <v>Nunes-SHAPE_2021</v>
      </c>
      <c r="L41" s="79">
        <v>0</v>
      </c>
      <c r="M41" s="79">
        <v>0</v>
      </c>
      <c r="N41" s="79">
        <v>1</v>
      </c>
      <c r="O41" s="81">
        <f>SUM(L41:N41)</f>
        <v>1</v>
      </c>
      <c r="Q41" s="89"/>
      <c r="R41" s="79"/>
      <c r="S41" s="79"/>
      <c r="T41" s="79"/>
    </row>
    <row r="42" spans="1:20" ht="15.6">
      <c r="A42" s="78">
        <v>1</v>
      </c>
      <c r="B42" s="79" t="s">
        <v>124</v>
      </c>
      <c r="C42" s="79" t="s">
        <v>125</v>
      </c>
      <c r="D42" s="79"/>
      <c r="E42" s="89">
        <v>2021</v>
      </c>
      <c r="F42" s="79" t="s">
        <v>124</v>
      </c>
      <c r="G42" s="89">
        <v>2021</v>
      </c>
      <c r="H42" s="121"/>
      <c r="I42" s="110" t="s">
        <v>2429</v>
      </c>
      <c r="J42" s="110" t="s">
        <v>2385</v>
      </c>
      <c r="K42" s="90" t="str">
        <f>_xlfn.CONCAT(F42, "_", G42)</f>
        <v>SKI-Lstoolkit_2021</v>
      </c>
      <c r="L42" s="79">
        <v>0</v>
      </c>
      <c r="M42" s="79">
        <v>0</v>
      </c>
      <c r="N42" s="79">
        <v>1</v>
      </c>
      <c r="O42" s="81">
        <f>SUM(L42:N42)</f>
        <v>1</v>
      </c>
      <c r="Q42" s="89"/>
      <c r="R42" s="79"/>
      <c r="S42" s="79"/>
      <c r="T42" s="79"/>
    </row>
    <row r="43" spans="1:20" ht="15.6">
      <c r="A43" s="78">
        <v>1</v>
      </c>
      <c r="B43" s="79" t="s">
        <v>78</v>
      </c>
      <c r="C43" s="79" t="s">
        <v>79</v>
      </c>
      <c r="D43" s="83" t="s">
        <v>2327</v>
      </c>
      <c r="E43" s="90">
        <v>2021</v>
      </c>
      <c r="F43" s="79" t="s">
        <v>78</v>
      </c>
      <c r="G43" s="90">
        <v>2021</v>
      </c>
      <c r="H43" s="121"/>
      <c r="I43" s="110" t="s">
        <v>2471</v>
      </c>
      <c r="J43" s="110" t="s">
        <v>2405</v>
      </c>
      <c r="K43" s="90" t="str">
        <f>_xlfn.CONCAT(F43, "_", G43)</f>
        <v>Ploeg-PEAE_2021</v>
      </c>
      <c r="L43" s="79">
        <v>1</v>
      </c>
      <c r="M43" s="79">
        <v>0</v>
      </c>
      <c r="N43" s="79">
        <v>0</v>
      </c>
      <c r="O43" s="81">
        <f>SUM(L43:N43)</f>
        <v>1</v>
      </c>
      <c r="Q43" s="90"/>
      <c r="R43" s="79"/>
      <c r="S43" s="79"/>
      <c r="T43" s="79"/>
    </row>
    <row r="44" spans="1:20" ht="15.6">
      <c r="A44" s="78">
        <v>1</v>
      </c>
      <c r="B44" s="79" t="s">
        <v>38</v>
      </c>
      <c r="C44" s="79" t="s">
        <v>2284</v>
      </c>
      <c r="D44" s="79" t="s">
        <v>2301</v>
      </c>
      <c r="E44" s="89">
        <v>2021</v>
      </c>
      <c r="F44" s="79" t="s">
        <v>38</v>
      </c>
      <c r="G44" s="89">
        <v>2021</v>
      </c>
      <c r="H44" s="121"/>
      <c r="I44" s="110" t="s">
        <v>2439</v>
      </c>
      <c r="J44" s="110" t="s">
        <v>2404</v>
      </c>
      <c r="K44" s="90" t="str">
        <f>_xlfn.CONCAT(F44, "_", G44)</f>
        <v>CBD-NEA_2021</v>
      </c>
      <c r="L44" s="79">
        <v>1</v>
      </c>
      <c r="M44" s="79">
        <v>0</v>
      </c>
      <c r="N44" s="79">
        <v>1</v>
      </c>
      <c r="O44" s="81">
        <f>SUM(L44:N44)</f>
        <v>2</v>
      </c>
      <c r="Q44" s="89"/>
      <c r="R44" s="79"/>
      <c r="S44" s="79"/>
      <c r="T44" s="79"/>
    </row>
    <row r="45" spans="1:20" ht="15.6">
      <c r="A45" s="78">
        <v>1</v>
      </c>
      <c r="B45" s="79" t="s">
        <v>42</v>
      </c>
      <c r="C45" s="79" t="s">
        <v>43</v>
      </c>
      <c r="D45" s="79" t="s">
        <v>2278</v>
      </c>
      <c r="E45" s="89">
        <v>2021</v>
      </c>
      <c r="F45" s="79" t="s">
        <v>42</v>
      </c>
      <c r="G45" s="89">
        <v>2021</v>
      </c>
      <c r="H45" s="121"/>
      <c r="I45" s="110" t="s">
        <v>2467</v>
      </c>
      <c r="J45" s="110" t="s">
        <v>2398</v>
      </c>
      <c r="K45" s="90" t="str">
        <f>_xlfn.CONCAT(F45, "_", G45)</f>
        <v>FSAT_2021</v>
      </c>
      <c r="L45" s="79">
        <v>1</v>
      </c>
      <c r="M45" s="79">
        <v>0</v>
      </c>
      <c r="N45" s="79">
        <v>1</v>
      </c>
      <c r="O45" s="81">
        <f>SUM(L45:N45)</f>
        <v>2</v>
      </c>
      <c r="Q45" s="89"/>
      <c r="R45" s="79"/>
      <c r="S45" s="79"/>
      <c r="T45" s="79"/>
    </row>
    <row r="46" spans="1:20" ht="15.6">
      <c r="A46" s="78">
        <v>1</v>
      </c>
      <c r="B46" s="79" t="s">
        <v>2296</v>
      </c>
      <c r="C46" s="78" t="s">
        <v>2297</v>
      </c>
      <c r="D46" s="79" t="s">
        <v>2298</v>
      </c>
      <c r="E46" s="89">
        <v>2021</v>
      </c>
      <c r="F46" s="79" t="s">
        <v>2296</v>
      </c>
      <c r="G46" s="89">
        <v>2021</v>
      </c>
      <c r="H46" s="121"/>
      <c r="I46" s="110" t="s">
        <v>2436</v>
      </c>
      <c r="J46" s="110" t="s">
        <v>2399</v>
      </c>
      <c r="K46" s="90" t="str">
        <f>_xlfn.CONCAT(F46, "_", G46)</f>
        <v>Posthumus_FSDST_2021</v>
      </c>
      <c r="L46" s="78">
        <v>1</v>
      </c>
      <c r="M46" s="78">
        <v>0</v>
      </c>
      <c r="N46" s="78">
        <v>1</v>
      </c>
      <c r="O46" s="81">
        <f>SUM(L46:N46)</f>
        <v>2</v>
      </c>
      <c r="Q46" s="89"/>
      <c r="R46" s="78"/>
      <c r="S46" s="78"/>
      <c r="T46" s="78"/>
    </row>
    <row r="47" spans="1:20" ht="15.6">
      <c r="A47" s="78">
        <v>1</v>
      </c>
      <c r="B47" s="79" t="s">
        <v>24</v>
      </c>
      <c r="C47" s="78" t="s">
        <v>25</v>
      </c>
      <c r="D47" s="83" t="s">
        <v>2291</v>
      </c>
      <c r="E47" s="90">
        <v>2021</v>
      </c>
      <c r="F47" s="79" t="s">
        <v>24</v>
      </c>
      <c r="G47" s="90">
        <v>2021</v>
      </c>
      <c r="H47" s="121"/>
      <c r="I47" s="110" t="s">
        <v>2446</v>
      </c>
      <c r="J47" s="110" t="s">
        <v>2356</v>
      </c>
      <c r="K47" s="90" t="str">
        <f>_xlfn.CONCAT(F47, "_", G47)</f>
        <v>EU-SS2030_2021</v>
      </c>
      <c r="L47" s="79">
        <v>1</v>
      </c>
      <c r="M47" s="79">
        <v>1</v>
      </c>
      <c r="N47" s="79">
        <v>0</v>
      </c>
      <c r="O47" s="81">
        <f>SUM(L47:N47)</f>
        <v>2</v>
      </c>
      <c r="Q47" s="89"/>
      <c r="R47" s="79"/>
      <c r="S47" s="79"/>
      <c r="T47" s="79"/>
    </row>
    <row r="48" spans="1:20" ht="20.399999999999999">
      <c r="A48" s="78">
        <v>1</v>
      </c>
      <c r="B48" s="79" t="s">
        <v>2322</v>
      </c>
      <c r="C48" s="79" t="s">
        <v>2319</v>
      </c>
      <c r="D48" s="83" t="s">
        <v>2318</v>
      </c>
      <c r="E48" s="90">
        <v>2022</v>
      </c>
      <c r="F48" s="79" t="s">
        <v>2322</v>
      </c>
      <c r="G48" s="90">
        <v>2022</v>
      </c>
      <c r="H48" s="121"/>
      <c r="I48" s="110" t="s">
        <v>2440</v>
      </c>
      <c r="J48" s="110" t="s">
        <v>2482</v>
      </c>
      <c r="K48" s="90" t="str">
        <f>_xlfn.CONCAT(F48, "_", G48)</f>
        <v>ILM_Tool_Guide_2022</v>
      </c>
      <c r="L48" s="79">
        <v>0</v>
      </c>
      <c r="M48" s="79">
        <v>0</v>
      </c>
      <c r="N48" s="79">
        <v>1</v>
      </c>
      <c r="O48" s="81">
        <f>SUM(L48:N48)</f>
        <v>1</v>
      </c>
      <c r="Q48" s="89"/>
      <c r="R48" s="79"/>
      <c r="S48" s="79"/>
      <c r="T48" s="79"/>
    </row>
    <row r="49" spans="1:20" ht="15.6">
      <c r="A49" s="78">
        <v>1</v>
      </c>
      <c r="B49" s="79" t="s">
        <v>122</v>
      </c>
      <c r="C49" s="79" t="s">
        <v>123</v>
      </c>
      <c r="D49" s="79" t="s">
        <v>2310</v>
      </c>
      <c r="E49" s="89">
        <v>2022</v>
      </c>
      <c r="F49" s="79" t="s">
        <v>122</v>
      </c>
      <c r="G49" s="89">
        <v>2022</v>
      </c>
      <c r="H49" s="121"/>
      <c r="I49" s="110" t="s">
        <v>2449</v>
      </c>
      <c r="J49" s="110" t="s">
        <v>2362</v>
      </c>
      <c r="K49" s="90" t="str">
        <f>_xlfn.CONCAT(F49, "_", G49)</f>
        <v>Ros-OSHAFSSM_2022</v>
      </c>
      <c r="L49" s="79">
        <v>0</v>
      </c>
      <c r="M49" s="79">
        <v>0</v>
      </c>
      <c r="N49" s="79">
        <v>1</v>
      </c>
      <c r="O49" s="81">
        <f>SUM(L49:N49)</f>
        <v>1</v>
      </c>
      <c r="Q49" s="90"/>
      <c r="R49" s="79"/>
      <c r="S49" s="79"/>
      <c r="T49" s="79"/>
    </row>
    <row r="50" spans="1:20" ht="20.399999999999999">
      <c r="A50" s="78">
        <v>1</v>
      </c>
      <c r="B50" s="79" t="s">
        <v>96</v>
      </c>
      <c r="C50" s="79" t="s">
        <v>2320</v>
      </c>
      <c r="D50" s="83" t="s">
        <v>2318</v>
      </c>
      <c r="E50" s="90">
        <v>2022</v>
      </c>
      <c r="F50" s="79" t="s">
        <v>96</v>
      </c>
      <c r="G50" s="90">
        <v>2022</v>
      </c>
      <c r="H50" s="121"/>
      <c r="I50" s="110" t="s">
        <v>2438</v>
      </c>
      <c r="J50" s="110" t="s">
        <v>2402</v>
      </c>
      <c r="K50" s="90" t="str">
        <f>_xlfn.CONCAT(F50, "_", G50)</f>
        <v>ILM-Practical_2022</v>
      </c>
      <c r="L50" s="79">
        <v>0</v>
      </c>
      <c r="M50" s="79">
        <v>1</v>
      </c>
      <c r="N50" s="79">
        <v>0</v>
      </c>
      <c r="O50" s="81">
        <f>SUM(L50:N50)</f>
        <v>1</v>
      </c>
      <c r="Q50" s="90"/>
      <c r="R50" s="79"/>
      <c r="S50" s="79"/>
      <c r="T50" s="79"/>
    </row>
    <row r="51" spans="1:20" ht="15.6">
      <c r="A51" s="78">
        <v>1</v>
      </c>
      <c r="B51" s="79" t="s">
        <v>2312</v>
      </c>
      <c r="C51" s="78" t="s">
        <v>2257</v>
      </c>
      <c r="D51" s="79" t="s">
        <v>2313</v>
      </c>
      <c r="E51" s="89">
        <v>2022</v>
      </c>
      <c r="F51" s="79" t="s">
        <v>2312</v>
      </c>
      <c r="G51" s="89">
        <v>2022</v>
      </c>
      <c r="H51" s="121"/>
      <c r="I51" s="110" t="s">
        <v>2448</v>
      </c>
      <c r="J51" s="110" t="s">
        <v>2484</v>
      </c>
      <c r="K51" s="90" t="str">
        <f>_xlfn.CONCAT(F51, "_", G51)</f>
        <v>govind-DUS_2022</v>
      </c>
      <c r="L51" s="78">
        <v>0</v>
      </c>
      <c r="M51" s="78">
        <v>1</v>
      </c>
      <c r="N51" s="78">
        <v>1</v>
      </c>
      <c r="O51" s="81">
        <f>SUM(L51:N51)</f>
        <v>2</v>
      </c>
      <c r="Q51" s="89"/>
      <c r="R51" s="79"/>
      <c r="S51" s="79"/>
      <c r="T51" s="79"/>
    </row>
    <row r="52" spans="1:20" ht="15.6">
      <c r="A52" s="78">
        <v>1</v>
      </c>
      <c r="B52" s="79" t="s">
        <v>64</v>
      </c>
      <c r="C52" s="79" t="s">
        <v>65</v>
      </c>
      <c r="D52" s="79" t="s">
        <v>2311</v>
      </c>
      <c r="E52" s="89">
        <v>2022</v>
      </c>
      <c r="F52" s="79" t="s">
        <v>64</v>
      </c>
      <c r="G52" s="89">
        <v>2022</v>
      </c>
      <c r="H52" s="121"/>
      <c r="I52" s="110" t="s">
        <v>2437</v>
      </c>
      <c r="J52" s="110" t="s">
        <v>64</v>
      </c>
      <c r="K52" s="90" t="str">
        <f>_xlfn.CONCAT(F52, "_", G52)</f>
        <v>cgiar-ll_2022</v>
      </c>
      <c r="L52" s="79">
        <v>1</v>
      </c>
      <c r="M52" s="79">
        <v>0</v>
      </c>
      <c r="N52" s="79">
        <v>0</v>
      </c>
      <c r="O52" s="81">
        <f>SUM(L52:N52)</f>
        <v>1</v>
      </c>
      <c r="Q52" s="89"/>
      <c r="R52" s="78"/>
      <c r="S52" s="78"/>
      <c r="T52" s="78"/>
    </row>
    <row r="53" spans="1:20" ht="15.6">
      <c r="A53" s="78">
        <v>1</v>
      </c>
      <c r="B53" s="79" t="s">
        <v>68</v>
      </c>
      <c r="C53" s="79" t="s">
        <v>69</v>
      </c>
      <c r="D53" s="79" t="s">
        <v>2279</v>
      </c>
      <c r="E53" s="89">
        <v>2022</v>
      </c>
      <c r="F53" s="79" t="s">
        <v>68</v>
      </c>
      <c r="G53" s="89">
        <v>2022</v>
      </c>
      <c r="H53" s="121"/>
      <c r="I53" s="110" t="s">
        <v>2430</v>
      </c>
      <c r="J53" s="110" t="s">
        <v>2387</v>
      </c>
      <c r="K53" s="90" t="str">
        <f>_xlfn.CONCAT(F53, "_", G53)</f>
        <v>FAO-GSPAF_2022</v>
      </c>
      <c r="L53" s="79">
        <v>1</v>
      </c>
      <c r="M53" s="79">
        <v>0</v>
      </c>
      <c r="N53" s="79">
        <v>0</v>
      </c>
      <c r="O53" s="81">
        <f>SUM(L53:N53)</f>
        <v>1</v>
      </c>
      <c r="Q53" s="90"/>
      <c r="R53" s="79"/>
      <c r="S53" s="79"/>
      <c r="T53" s="79"/>
    </row>
    <row r="54" spans="1:20" ht="15.6">
      <c r="A54" s="78">
        <v>1</v>
      </c>
      <c r="B54" s="79" t="s">
        <v>6</v>
      </c>
      <c r="C54" s="78" t="s">
        <v>7</v>
      </c>
      <c r="D54" s="83" t="s">
        <v>2316</v>
      </c>
      <c r="E54" s="90">
        <v>2022</v>
      </c>
      <c r="F54" s="79" t="s">
        <v>6</v>
      </c>
      <c r="G54" s="90">
        <v>2022</v>
      </c>
      <c r="H54" s="121"/>
      <c r="I54" s="110" t="s">
        <v>2412</v>
      </c>
      <c r="J54" s="110" t="s">
        <v>2351</v>
      </c>
      <c r="K54" s="90" t="str">
        <f>_xlfn.CONCAT(F54, "_", G54)</f>
        <v>EEA-SMEITSHA_2022</v>
      </c>
      <c r="L54" s="79">
        <v>1</v>
      </c>
      <c r="M54" s="79">
        <v>1</v>
      </c>
      <c r="N54" s="79">
        <v>1</v>
      </c>
      <c r="O54" s="81">
        <f>SUM(L54:N54)</f>
        <v>3</v>
      </c>
      <c r="Q54" s="90"/>
      <c r="R54" s="79"/>
      <c r="S54" s="79"/>
      <c r="T54" s="79"/>
    </row>
    <row r="55" spans="1:20" ht="15.6">
      <c r="A55" s="78">
        <v>1</v>
      </c>
      <c r="B55" s="79" t="s">
        <v>8</v>
      </c>
      <c r="C55" s="78" t="s">
        <v>2258</v>
      </c>
      <c r="D55" s="83" t="s">
        <v>2303</v>
      </c>
      <c r="E55" s="90">
        <v>2022</v>
      </c>
      <c r="F55" s="79" t="s">
        <v>8</v>
      </c>
      <c r="G55" s="90">
        <v>2022</v>
      </c>
      <c r="H55" s="121"/>
      <c r="I55" s="110" t="s">
        <v>2413</v>
      </c>
      <c r="J55" s="110" t="s">
        <v>2353</v>
      </c>
      <c r="K55" s="90" t="str">
        <f>_xlfn.CONCAT(F55, "_", G55)</f>
        <v>EJP-SIREN_2022</v>
      </c>
      <c r="L55" s="79">
        <v>1</v>
      </c>
      <c r="M55" s="79">
        <v>1</v>
      </c>
      <c r="N55" s="79">
        <v>1</v>
      </c>
      <c r="O55" s="81">
        <f>SUM(L55:N55)</f>
        <v>3</v>
      </c>
      <c r="Q55" s="90"/>
      <c r="R55" s="79"/>
      <c r="S55" s="79"/>
      <c r="T55" s="79"/>
    </row>
    <row r="56" spans="1:20" ht="15.6">
      <c r="A56" s="78">
        <v>1</v>
      </c>
      <c r="B56" s="79" t="s">
        <v>2259</v>
      </c>
      <c r="C56" s="78" t="s">
        <v>2260</v>
      </c>
      <c r="D56" s="83" t="s">
        <v>2314</v>
      </c>
      <c r="E56" s="90">
        <v>2023</v>
      </c>
      <c r="F56" s="79" t="s">
        <v>2259</v>
      </c>
      <c r="G56" s="90">
        <v>2023</v>
      </c>
      <c r="H56" s="121"/>
      <c r="I56" s="110" t="s">
        <v>2419</v>
      </c>
      <c r="J56" s="110" t="s">
        <v>2481</v>
      </c>
      <c r="K56" s="90" t="str">
        <f>_xlfn.CONCAT(F56, "_", G56)</f>
        <v>Gwimire-SHAM4WLE_2023</v>
      </c>
      <c r="L56" s="78">
        <v>0</v>
      </c>
      <c r="M56" s="78">
        <v>1</v>
      </c>
      <c r="N56" s="78">
        <v>1</v>
      </c>
      <c r="O56" s="81">
        <f>SUM(L56:N56)</f>
        <v>2</v>
      </c>
      <c r="Q56" s="89"/>
      <c r="R56" s="79"/>
      <c r="S56" s="79"/>
      <c r="T56" s="79"/>
    </row>
    <row r="57" spans="1:20" ht="15.6">
      <c r="A57" s="78">
        <v>1</v>
      </c>
      <c r="B57" s="79" t="s">
        <v>80</v>
      </c>
      <c r="C57" s="79" t="s">
        <v>81</v>
      </c>
      <c r="D57" s="83"/>
      <c r="E57" s="90">
        <v>2023</v>
      </c>
      <c r="F57" s="79" t="s">
        <v>80</v>
      </c>
      <c r="G57" s="90">
        <v>2023</v>
      </c>
      <c r="H57" s="121"/>
      <c r="I57" s="110" t="s">
        <v>2442</v>
      </c>
      <c r="J57" s="110" t="s">
        <v>2409</v>
      </c>
      <c r="K57" s="90" t="str">
        <f>_xlfn.CONCAT(F57, "_", G57)</f>
        <v>SAI-RAAG_2023</v>
      </c>
      <c r="L57" s="79">
        <v>1</v>
      </c>
      <c r="M57" s="79">
        <v>0</v>
      </c>
      <c r="N57" s="79">
        <v>0</v>
      </c>
      <c r="O57" s="81">
        <f>SUM(L57:N57)</f>
        <v>1</v>
      </c>
      <c r="Q57" s="89"/>
      <c r="R57" s="79"/>
      <c r="S57" s="79"/>
      <c r="T57" s="79"/>
    </row>
    <row r="58" spans="1:20" ht="15.6">
      <c r="A58" s="78">
        <v>1</v>
      </c>
      <c r="B58" s="79" t="s">
        <v>30</v>
      </c>
      <c r="C58" s="79" t="s">
        <v>31</v>
      </c>
      <c r="D58" s="79" t="s">
        <v>2317</v>
      </c>
      <c r="E58" s="89">
        <v>2023</v>
      </c>
      <c r="F58" s="79" t="s">
        <v>30</v>
      </c>
      <c r="G58" s="89">
        <v>2023</v>
      </c>
      <c r="H58" s="121"/>
      <c r="I58" s="110" t="s">
        <v>2414</v>
      </c>
      <c r="J58" s="110" t="s">
        <v>2355</v>
      </c>
      <c r="K58" s="90" t="str">
        <f>_xlfn.CONCAT(F58, "_", G58)</f>
        <v>IFDC-FSHA_2023</v>
      </c>
      <c r="L58" s="79">
        <v>1</v>
      </c>
      <c r="M58" s="79">
        <v>1</v>
      </c>
      <c r="N58" s="79">
        <v>0</v>
      </c>
      <c r="O58" s="81">
        <f>SUM(L58:N58)</f>
        <v>2</v>
      </c>
      <c r="Q58" s="90"/>
      <c r="R58" s="78"/>
      <c r="S58" s="78"/>
      <c r="T58" s="78"/>
    </row>
    <row r="59" spans="1:20" ht="15.6">
      <c r="A59" s="78">
        <v>1</v>
      </c>
      <c r="B59" s="84" t="s">
        <v>18</v>
      </c>
      <c r="C59" s="79" t="s">
        <v>19</v>
      </c>
      <c r="D59" s="83" t="s">
        <v>2330</v>
      </c>
      <c r="E59" s="90">
        <v>2023</v>
      </c>
      <c r="F59" s="84" t="s">
        <v>18</v>
      </c>
      <c r="G59" s="90">
        <v>2023</v>
      </c>
      <c r="H59" s="121"/>
      <c r="I59" s="110" t="s">
        <v>2426</v>
      </c>
      <c r="J59" s="110" t="s">
        <v>2378</v>
      </c>
      <c r="K59" s="90" t="str">
        <f>_xlfn.CONCAT(F59, "_", G59)</f>
        <v>Tittonel-sysageco_2023</v>
      </c>
      <c r="L59" s="79">
        <v>1</v>
      </c>
      <c r="M59" s="79">
        <v>1</v>
      </c>
      <c r="N59" s="79">
        <v>1</v>
      </c>
      <c r="O59" s="81">
        <f>SUM(L59:N59)</f>
        <v>3</v>
      </c>
      <c r="Q59" s="90"/>
      <c r="R59" s="79"/>
      <c r="S59" s="79"/>
      <c r="T59" s="79"/>
    </row>
    <row r="60" spans="1:20" ht="15.6">
      <c r="A60" s="78">
        <v>1</v>
      </c>
      <c r="B60" s="79" t="s">
        <v>106</v>
      </c>
      <c r="C60" s="79" t="s">
        <v>2254</v>
      </c>
      <c r="D60" s="79" t="s">
        <v>2271</v>
      </c>
      <c r="E60" s="89">
        <v>2024</v>
      </c>
      <c r="F60" s="79" t="s">
        <v>106</v>
      </c>
      <c r="G60" s="89">
        <v>2024</v>
      </c>
      <c r="H60" s="121"/>
      <c r="I60" s="110" t="s">
        <v>2416</v>
      </c>
      <c r="J60" s="110" t="s">
        <v>2359</v>
      </c>
      <c r="K60" s="90" t="str">
        <f>_xlfn.CONCAT(F60, "_", G60)</f>
        <v>Deel-SEMWISE_2024</v>
      </c>
      <c r="L60" s="79">
        <v>0</v>
      </c>
      <c r="M60" s="79">
        <v>0</v>
      </c>
      <c r="N60" s="79">
        <v>1</v>
      </c>
      <c r="O60" s="81">
        <f>SUM(L60:N60)</f>
        <v>1</v>
      </c>
      <c r="Q60" s="90"/>
      <c r="R60" s="79"/>
      <c r="S60" s="79"/>
      <c r="T60" s="79"/>
    </row>
    <row r="61" spans="1:20" ht="15.6">
      <c r="A61" s="78">
        <v>1</v>
      </c>
      <c r="B61" s="79" t="s">
        <v>109</v>
      </c>
      <c r="C61" s="88" t="s">
        <v>110</v>
      </c>
      <c r="D61" s="95" t="s">
        <v>2303</v>
      </c>
      <c r="E61" s="91">
        <v>2024</v>
      </c>
      <c r="F61" s="79" t="s">
        <v>109</v>
      </c>
      <c r="G61" s="91">
        <v>2024</v>
      </c>
      <c r="H61" s="121"/>
      <c r="I61" s="110" t="s">
        <v>2441</v>
      </c>
      <c r="J61" s="110" t="s">
        <v>2407</v>
      </c>
      <c r="K61" s="90" t="str">
        <f>_xlfn.CONCAT(F61, "_", G61)</f>
        <v>EJP-SHTTAS_2024</v>
      </c>
      <c r="L61" s="79">
        <v>0</v>
      </c>
      <c r="M61" s="79">
        <v>0</v>
      </c>
      <c r="N61" s="79">
        <v>1</v>
      </c>
      <c r="O61" s="81">
        <f>SUM(L61:N61)</f>
        <v>1</v>
      </c>
      <c r="Q61" s="89"/>
      <c r="R61" s="79"/>
      <c r="S61" s="79"/>
      <c r="T61" s="79"/>
    </row>
    <row r="62" spans="1:20" ht="15.6">
      <c r="A62" s="78">
        <v>1</v>
      </c>
      <c r="B62" s="78" t="s">
        <v>74</v>
      </c>
      <c r="C62" s="78" t="s">
        <v>75</v>
      </c>
      <c r="D62" s="83" t="s">
        <v>2306</v>
      </c>
      <c r="E62" s="90">
        <v>2024</v>
      </c>
      <c r="F62" s="78" t="s">
        <v>74</v>
      </c>
      <c r="G62" s="90">
        <v>2024</v>
      </c>
      <c r="H62" s="121"/>
      <c r="I62" s="110" t="s">
        <v>2455</v>
      </c>
      <c r="J62" s="110" t="s">
        <v>2374</v>
      </c>
      <c r="K62" s="90" t="str">
        <f>_xlfn.CONCAT(F62, "_", G62)</f>
        <v>Montg-SHOHPH_2024</v>
      </c>
      <c r="L62" s="79">
        <v>1</v>
      </c>
      <c r="M62" s="79">
        <v>0</v>
      </c>
      <c r="N62" s="79">
        <v>0</v>
      </c>
      <c r="O62" s="81">
        <f>SUM(L62:N62)</f>
        <v>1</v>
      </c>
      <c r="Q62" s="91"/>
      <c r="R62" s="79"/>
      <c r="S62" s="79"/>
      <c r="T62" s="79"/>
    </row>
    <row r="63" spans="1:20" ht="15.6">
      <c r="A63" s="78">
        <v>1</v>
      </c>
      <c r="B63" s="79" t="s">
        <v>40</v>
      </c>
      <c r="C63" s="93" t="s">
        <v>2283</v>
      </c>
      <c r="D63" s="79" t="s">
        <v>2315</v>
      </c>
      <c r="E63" s="89">
        <v>2024</v>
      </c>
      <c r="F63" s="79" t="s">
        <v>40</v>
      </c>
      <c r="G63" s="89">
        <v>2024</v>
      </c>
      <c r="H63" s="121"/>
      <c r="I63" s="110" t="s">
        <v>2428</v>
      </c>
      <c r="J63" s="110" t="s">
        <v>2480</v>
      </c>
      <c r="K63" s="90" t="str">
        <f>_xlfn.CONCAT(F63, "_", G63)</f>
        <v>Common_4returns_2024</v>
      </c>
      <c r="L63" s="79">
        <v>1</v>
      </c>
      <c r="M63" s="79">
        <v>0</v>
      </c>
      <c r="N63" s="79">
        <v>1</v>
      </c>
      <c r="O63" s="81">
        <f>SUM(L63:N63)</f>
        <v>2</v>
      </c>
      <c r="Q63" s="89"/>
      <c r="R63" s="79"/>
      <c r="S63" s="79"/>
      <c r="T63" s="79"/>
    </row>
    <row r="64" spans="1:20" ht="15.6">
      <c r="A64" s="78">
        <v>1</v>
      </c>
      <c r="B64" s="79" t="s">
        <v>32</v>
      </c>
      <c r="C64" s="78" t="s">
        <v>33</v>
      </c>
      <c r="D64" s="79" t="s">
        <v>2294</v>
      </c>
      <c r="E64" s="89">
        <v>2024</v>
      </c>
      <c r="F64" s="79" t="s">
        <v>32</v>
      </c>
      <c r="G64" s="89">
        <v>2024</v>
      </c>
      <c r="H64" s="121"/>
      <c r="I64" s="110" t="s">
        <v>2469</v>
      </c>
      <c r="J64" s="110" t="s">
        <v>2401</v>
      </c>
      <c r="K64" s="90" t="str">
        <f>_xlfn.CONCAT(F64, "_", G64)</f>
        <v>MN-SHAF_2024</v>
      </c>
      <c r="L64" s="79">
        <v>1</v>
      </c>
      <c r="M64" s="79">
        <v>1</v>
      </c>
      <c r="N64" s="79">
        <v>0</v>
      </c>
      <c r="O64" s="81">
        <f>SUM(L64:N64)</f>
        <v>2</v>
      </c>
      <c r="Q64" s="89"/>
      <c r="R64" s="79"/>
      <c r="S64" s="79"/>
      <c r="T64" s="79"/>
    </row>
    <row r="65" spans="1:20" ht="16.2" thickBot="1">
      <c r="A65" s="78">
        <v>1</v>
      </c>
      <c r="B65" s="79" t="s">
        <v>14</v>
      </c>
      <c r="C65" s="79" t="s">
        <v>15</v>
      </c>
      <c r="D65" s="79"/>
      <c r="E65" s="89">
        <v>2024</v>
      </c>
      <c r="F65" s="79" t="s">
        <v>14</v>
      </c>
      <c r="G65" s="89">
        <v>2024</v>
      </c>
      <c r="H65" s="121"/>
      <c r="I65" s="111" t="s">
        <v>2443</v>
      </c>
      <c r="J65" s="111" t="s">
        <v>2350</v>
      </c>
      <c r="K65" s="90" t="str">
        <f>_xlfn.CONCAT(F65, "_", G65)</f>
        <v>nestle-RAF_2024</v>
      </c>
      <c r="L65" s="79">
        <v>1</v>
      </c>
      <c r="M65" s="79">
        <v>1</v>
      </c>
      <c r="N65" s="79">
        <v>1</v>
      </c>
      <c r="O65" s="81">
        <f>SUM(L65:N65)</f>
        <v>3</v>
      </c>
      <c r="Q65" s="89"/>
      <c r="R65" s="79"/>
      <c r="S65" s="79"/>
      <c r="T65" s="79"/>
    </row>
    <row r="66" spans="1:20" ht="15.6" outlineLevel="1">
      <c r="A66" s="78"/>
      <c r="B66" s="79"/>
      <c r="C66" s="79"/>
      <c r="D66" s="79"/>
      <c r="E66" s="89"/>
      <c r="F66" s="79"/>
      <c r="G66" s="89"/>
      <c r="H66" s="89"/>
      <c r="K66" s="90"/>
      <c r="M66" s="79"/>
      <c r="N66" s="79"/>
      <c r="O66" s="81"/>
    </row>
    <row r="67" spans="1:20" ht="15.6" outlineLevel="1">
      <c r="A67" s="78"/>
      <c r="B67" s="79"/>
      <c r="C67" s="78"/>
      <c r="D67" s="94"/>
      <c r="E67" s="92"/>
      <c r="F67" s="79"/>
      <c r="G67" s="92"/>
      <c r="H67" s="92"/>
      <c r="K67" s="90"/>
      <c r="M67" s="79"/>
      <c r="N67" s="79"/>
      <c r="O67" s="81"/>
    </row>
    <row r="68" spans="1:20" ht="15.6" outlineLevel="1">
      <c r="A68" s="78"/>
      <c r="B68" s="79"/>
      <c r="C68" s="79"/>
      <c r="D68" s="79"/>
      <c r="E68" s="89"/>
      <c r="F68" s="79"/>
      <c r="G68" s="89"/>
      <c r="H68" s="89"/>
      <c r="K68" s="90"/>
      <c r="M68" s="79"/>
      <c r="N68" s="79"/>
      <c r="O68" s="81"/>
    </row>
    <row r="69" spans="1:20" ht="15.6" outlineLevel="1">
      <c r="A69" s="78"/>
      <c r="B69" s="78"/>
      <c r="C69" s="78"/>
      <c r="D69" s="83"/>
      <c r="E69" s="90"/>
      <c r="F69" s="78"/>
      <c r="G69" s="90"/>
      <c r="H69" s="90"/>
      <c r="K69" s="90"/>
      <c r="M69" s="83"/>
      <c r="N69" s="83"/>
      <c r="O69" s="81"/>
    </row>
    <row r="70" spans="1:20" ht="15.6" outlineLevel="1">
      <c r="A70" s="78"/>
      <c r="B70" s="78"/>
      <c r="C70" s="78"/>
      <c r="D70" s="83"/>
      <c r="E70" s="90"/>
      <c r="F70" s="78"/>
      <c r="G70" s="90"/>
      <c r="H70" s="90"/>
      <c r="K70" s="90"/>
      <c r="M70" s="83"/>
      <c r="N70" s="83"/>
      <c r="O70" s="81"/>
    </row>
    <row r="71" spans="1:20" ht="15.6" outlineLevel="1">
      <c r="A71" s="78"/>
      <c r="B71" s="78"/>
      <c r="C71" s="78"/>
      <c r="D71" s="83"/>
      <c r="E71" s="90"/>
      <c r="F71" s="78"/>
      <c r="G71" s="90"/>
      <c r="H71" s="90"/>
      <c r="K71" s="90"/>
      <c r="M71" s="83"/>
      <c r="N71" s="83"/>
      <c r="O71" s="81"/>
    </row>
    <row r="72" spans="1:20" ht="15.6" outlineLevel="1">
      <c r="A72" s="78"/>
      <c r="B72" s="78"/>
      <c r="C72" s="78"/>
      <c r="D72" s="83"/>
      <c r="E72" s="90"/>
      <c r="F72" s="78"/>
      <c r="G72" s="90"/>
      <c r="H72" s="90"/>
      <c r="K72" s="90"/>
      <c r="M72" s="83"/>
      <c r="N72" s="83"/>
      <c r="O72" s="81"/>
    </row>
    <row r="73" spans="1:20" ht="15.6" outlineLevel="1">
      <c r="A73" s="78"/>
      <c r="B73" s="78"/>
      <c r="C73" s="78"/>
      <c r="D73" s="94"/>
      <c r="E73" s="92"/>
      <c r="F73" s="78"/>
      <c r="G73" s="92"/>
      <c r="H73" s="92"/>
      <c r="K73" s="90"/>
      <c r="M73" s="83"/>
      <c r="N73" s="83"/>
      <c r="O73" s="81"/>
    </row>
    <row r="74" spans="1:20" ht="15.6" outlineLevel="1">
      <c r="A74" s="78"/>
      <c r="B74" s="78"/>
      <c r="C74" s="79"/>
      <c r="D74" s="79"/>
      <c r="E74" s="89"/>
      <c r="F74" s="78"/>
      <c r="G74" s="89"/>
      <c r="H74" s="89"/>
      <c r="K74" s="90"/>
      <c r="M74" s="83"/>
      <c r="N74" s="83"/>
      <c r="O74" s="81"/>
    </row>
    <row r="75" spans="1:20" ht="15.6" outlineLevel="1">
      <c r="A75" s="78"/>
      <c r="B75" s="78"/>
      <c r="D75" s="83"/>
      <c r="E75" s="90"/>
      <c r="F75" s="78"/>
      <c r="G75" s="90"/>
      <c r="H75" s="90"/>
      <c r="K75" s="90"/>
      <c r="M75" s="83"/>
      <c r="N75" s="83"/>
      <c r="O75" s="81"/>
    </row>
    <row r="76" spans="1:20" ht="15.6" outlineLevel="1">
      <c r="A76" s="78"/>
      <c r="B76" s="78"/>
      <c r="C76" s="78"/>
      <c r="D76" s="79"/>
      <c r="E76" s="89"/>
      <c r="F76" s="78"/>
      <c r="G76" s="89"/>
      <c r="H76" s="89"/>
      <c r="K76" s="90"/>
      <c r="M76" s="83"/>
      <c r="N76" s="83"/>
      <c r="O76" s="81"/>
    </row>
    <row r="77" spans="1:20" ht="15.6" outlineLevel="1">
      <c r="A77" s="78"/>
      <c r="B77" s="78"/>
      <c r="C77" s="78"/>
      <c r="D77" s="83"/>
      <c r="E77" s="90"/>
      <c r="F77" s="78"/>
      <c r="G77" s="90"/>
      <c r="H77" s="90"/>
      <c r="K77" s="90"/>
      <c r="M77" s="83"/>
      <c r="N77" s="83"/>
      <c r="O77" s="81"/>
    </row>
    <row r="78" spans="1:20" ht="15.6" outlineLevel="1">
      <c r="A78" s="78"/>
      <c r="B78" s="78"/>
      <c r="C78" s="78"/>
      <c r="D78" s="83"/>
      <c r="E78" s="90"/>
      <c r="F78" s="78"/>
      <c r="G78" s="90"/>
      <c r="H78" s="90"/>
      <c r="K78" s="90"/>
      <c r="M78" s="83"/>
      <c r="N78" s="83"/>
      <c r="O78" s="81"/>
    </row>
    <row r="79" spans="1:20" ht="15.6" outlineLevel="1">
      <c r="A79" s="78"/>
      <c r="B79" s="78"/>
      <c r="C79" s="78"/>
      <c r="D79" s="83"/>
      <c r="E79" s="90"/>
      <c r="F79" s="78"/>
      <c r="G79" s="90"/>
      <c r="H79" s="90"/>
      <c r="K79" s="90"/>
      <c r="M79" s="83"/>
      <c r="N79" s="83"/>
      <c r="O79" s="81"/>
    </row>
    <row r="80" spans="1:20" ht="15.6" outlineLevel="1">
      <c r="A80" s="78"/>
      <c r="B80" s="78"/>
      <c r="C80" s="78"/>
      <c r="D80" s="79"/>
      <c r="E80" s="89"/>
      <c r="F80" s="78"/>
      <c r="G80" s="89"/>
      <c r="H80" s="89"/>
      <c r="K80" s="90"/>
      <c r="M80" s="83"/>
      <c r="N80" s="83"/>
      <c r="O80" s="81"/>
    </row>
    <row r="81" spans="1:17" ht="15.6" outlineLevel="1">
      <c r="A81" s="78"/>
      <c r="B81" s="78"/>
      <c r="C81" s="78"/>
      <c r="D81" s="79"/>
      <c r="E81" s="89"/>
      <c r="F81" s="78"/>
      <c r="G81" s="89"/>
      <c r="H81" s="89"/>
      <c r="K81" s="90"/>
      <c r="M81" s="83"/>
      <c r="N81" s="83"/>
      <c r="O81" s="81"/>
    </row>
    <row r="82" spans="1:17" ht="15.6" outlineLevel="1">
      <c r="A82" s="78"/>
      <c r="B82" s="78"/>
      <c r="C82" s="78"/>
      <c r="D82" s="94"/>
      <c r="E82" s="92"/>
      <c r="F82" s="78"/>
      <c r="G82" s="92"/>
      <c r="H82" s="92"/>
      <c r="K82" s="90"/>
      <c r="M82" s="83"/>
      <c r="N82" s="83"/>
      <c r="O82" s="81"/>
    </row>
    <row r="83" spans="1:17" ht="15.6" outlineLevel="1">
      <c r="A83" s="78"/>
      <c r="B83" s="78"/>
      <c r="C83" s="78"/>
      <c r="D83" s="83"/>
      <c r="E83" s="90"/>
      <c r="F83" s="78"/>
      <c r="G83" s="90"/>
      <c r="H83" s="90"/>
      <c r="K83" s="90"/>
      <c r="M83" s="83"/>
      <c r="N83" s="83"/>
      <c r="O83" s="81"/>
    </row>
    <row r="84" spans="1:17" ht="15.6" outlineLevel="1">
      <c r="A84" s="78"/>
      <c r="B84" s="78"/>
      <c r="C84" s="78"/>
      <c r="D84" s="83"/>
      <c r="E84" s="90"/>
      <c r="F84" s="78"/>
      <c r="G84" s="90"/>
      <c r="H84" s="90"/>
      <c r="K84" s="90"/>
      <c r="M84" s="83"/>
      <c r="N84" s="83"/>
      <c r="O84" s="81"/>
    </row>
    <row r="85" spans="1:17" ht="15.6" outlineLevel="1">
      <c r="A85" s="78"/>
      <c r="B85" s="78"/>
      <c r="C85" s="78"/>
      <c r="D85" s="83"/>
      <c r="E85" s="90"/>
      <c r="F85" s="78"/>
      <c r="G85" s="90"/>
      <c r="H85" s="90"/>
      <c r="K85" s="90"/>
      <c r="M85" s="83"/>
      <c r="N85" s="83"/>
      <c r="O85" s="81"/>
    </row>
    <row r="86" spans="1:17" ht="15.6" outlineLevel="1">
      <c r="A86" s="78"/>
      <c r="B86" s="78"/>
      <c r="C86" s="78"/>
      <c r="D86" s="79"/>
      <c r="E86" s="89"/>
      <c r="F86" s="78"/>
      <c r="G86" s="89"/>
      <c r="H86" s="89"/>
      <c r="K86" s="90"/>
      <c r="M86" s="83"/>
      <c r="N86" s="83"/>
      <c r="O86" s="81"/>
    </row>
    <row r="87" spans="1:17" ht="15.6" outlineLevel="1">
      <c r="A87" s="78"/>
      <c r="B87" s="78"/>
      <c r="D87" s="79"/>
      <c r="E87" s="89"/>
      <c r="F87" s="78"/>
      <c r="G87" s="89"/>
      <c r="H87" s="89"/>
      <c r="K87" s="90"/>
      <c r="M87" s="83"/>
      <c r="N87" s="83"/>
      <c r="O87" s="81"/>
    </row>
    <row r="88" spans="1:17" ht="15.6" outlineLevel="1">
      <c r="A88" s="78"/>
      <c r="B88" s="79"/>
      <c r="C88" s="78"/>
      <c r="D88" s="83"/>
      <c r="E88" s="90"/>
      <c r="F88" s="78"/>
      <c r="G88" s="90"/>
      <c r="H88" s="90"/>
      <c r="K88" s="90"/>
      <c r="M88" s="78"/>
      <c r="N88" s="78"/>
      <c r="O88" s="81"/>
    </row>
    <row r="89" spans="1:17" ht="15.6" outlineLevel="1">
      <c r="A89" s="78"/>
      <c r="B89" s="79"/>
      <c r="C89" s="78"/>
      <c r="D89" s="83"/>
      <c r="E89" s="90"/>
      <c r="F89" s="78"/>
      <c r="G89" s="90"/>
      <c r="H89" s="90"/>
      <c r="K89" s="90"/>
      <c r="L89">
        <f>SUBTOTAL(9,L2:L88)</f>
        <v>45</v>
      </c>
      <c r="M89" s="78"/>
      <c r="N89" s="78"/>
      <c r="O89" s="81"/>
      <c r="Q89" s="3"/>
    </row>
  </sheetData>
  <sortState xmlns:xlrd2="http://schemas.microsoft.com/office/spreadsheetml/2017/richdata2" ref="A2:O65">
    <sortCondition ref="E2:E65"/>
    <sortCondition ref="L2:L65"/>
    <sortCondition ref="M2:M65"/>
    <sortCondition ref="N2:N65"/>
  </sortState>
  <dataConsolidate/>
  <mergeCells count="4">
    <mergeCell ref="H2:H14"/>
    <mergeCell ref="H15:H20"/>
    <mergeCell ref="H21:H40"/>
    <mergeCell ref="H41:H6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C930E-A1E4-4DA2-8EBC-ADDE20A4DDAA}">
  <dimension ref="A1:K687"/>
  <sheetViews>
    <sheetView zoomScale="102" zoomScaleNormal="102" workbookViewId="0">
      <pane ySplit="1" topLeftCell="A2" activePane="bottomLeft" state="frozen"/>
      <selection pane="bottomLeft" activeCell="D692" sqref="D692"/>
    </sheetView>
  </sheetViews>
  <sheetFormatPr defaultRowHeight="14.4"/>
  <cols>
    <col min="1" max="1" width="18.6640625" bestFit="1" customWidth="1"/>
    <col min="2" max="2" width="22.109375" bestFit="1" customWidth="1"/>
    <col min="3" max="3" width="46.6640625" customWidth="1"/>
    <col min="4" max="4" width="31.33203125" bestFit="1" customWidth="1"/>
    <col min="5" max="5" width="10" bestFit="1" customWidth="1"/>
    <col min="6" max="6" width="12.21875" bestFit="1" customWidth="1"/>
    <col min="7" max="7" width="8.5546875" bestFit="1" customWidth="1"/>
    <col min="8" max="8" width="6.21875" bestFit="1" customWidth="1"/>
    <col min="9" max="9" width="7.88671875" bestFit="1" customWidth="1"/>
    <col min="10" max="10" width="7.77734375" bestFit="1" customWidth="1"/>
  </cols>
  <sheetData>
    <row r="1" spans="1:11">
      <c r="A1" s="61" t="s">
        <v>2110</v>
      </c>
      <c r="B1" s="61" t="s">
        <v>2109</v>
      </c>
      <c r="C1" s="61" t="s">
        <v>1721</v>
      </c>
      <c r="D1" t="s">
        <v>2111</v>
      </c>
      <c r="E1" s="62" t="s">
        <v>368</v>
      </c>
      <c r="F1" s="62" t="s">
        <v>630</v>
      </c>
      <c r="G1" s="62" t="s">
        <v>1722</v>
      </c>
      <c r="H1" s="62" t="s">
        <v>1797</v>
      </c>
      <c r="I1" s="62" t="s">
        <v>1798</v>
      </c>
      <c r="J1" s="62" t="s">
        <v>1799</v>
      </c>
      <c r="K1" s="63" t="s">
        <v>1795</v>
      </c>
    </row>
    <row r="2" spans="1:11">
      <c r="A2" s="64" t="s">
        <v>2030</v>
      </c>
      <c r="B2" s="65" t="s">
        <v>2106</v>
      </c>
      <c r="C2" s="64" t="s">
        <v>1562</v>
      </c>
      <c r="D2" t="s">
        <v>636</v>
      </c>
      <c r="E2" s="64">
        <v>1</v>
      </c>
      <c r="F2" s="64">
        <v>0</v>
      </c>
      <c r="G2" s="64">
        <v>1</v>
      </c>
      <c r="H2" s="64"/>
      <c r="I2" s="64"/>
      <c r="J2" s="64"/>
      <c r="K2" s="64"/>
    </row>
    <row r="3" spans="1:11">
      <c r="A3" s="64" t="s">
        <v>2030</v>
      </c>
      <c r="B3" s="65" t="s">
        <v>2106</v>
      </c>
      <c r="C3" s="64" t="s">
        <v>1562</v>
      </c>
      <c r="D3" t="s">
        <v>1810</v>
      </c>
      <c r="E3" s="64">
        <v>1</v>
      </c>
      <c r="F3" s="64">
        <v>1</v>
      </c>
      <c r="G3" s="64">
        <v>0</v>
      </c>
      <c r="H3" s="64"/>
      <c r="I3" s="64"/>
      <c r="J3" s="64"/>
      <c r="K3" s="64"/>
    </row>
    <row r="4" spans="1:11">
      <c r="A4" s="64" t="s">
        <v>2030</v>
      </c>
      <c r="B4" s="65" t="s">
        <v>2106</v>
      </c>
      <c r="C4" s="64" t="s">
        <v>1562</v>
      </c>
      <c r="D4" t="s">
        <v>638</v>
      </c>
      <c r="E4" s="64"/>
      <c r="F4" s="64"/>
      <c r="G4" s="64"/>
      <c r="H4" s="64"/>
      <c r="I4" s="64"/>
      <c r="J4" s="64"/>
      <c r="K4" s="64"/>
    </row>
    <row r="5" spans="1:11">
      <c r="A5" s="64" t="s">
        <v>2030</v>
      </c>
      <c r="B5" s="65" t="s">
        <v>2106</v>
      </c>
      <c r="C5" s="64" t="s">
        <v>1562</v>
      </c>
      <c r="D5" t="s">
        <v>600</v>
      </c>
      <c r="E5" s="64"/>
      <c r="F5" s="64"/>
      <c r="G5" s="64"/>
      <c r="H5" s="64">
        <v>1</v>
      </c>
      <c r="I5" s="64">
        <v>1</v>
      </c>
      <c r="J5" s="64">
        <v>0</v>
      </c>
      <c r="K5" s="64"/>
    </row>
    <row r="6" spans="1:11">
      <c r="A6" s="64" t="s">
        <v>2030</v>
      </c>
      <c r="B6" s="65" t="s">
        <v>2106</v>
      </c>
      <c r="C6" s="64" t="s">
        <v>1562</v>
      </c>
      <c r="D6" t="s">
        <v>1838</v>
      </c>
      <c r="E6" s="64"/>
      <c r="F6" s="64"/>
      <c r="G6" s="64"/>
      <c r="H6" s="64"/>
      <c r="I6" s="64"/>
      <c r="J6" s="64"/>
      <c r="K6" s="64"/>
    </row>
    <row r="7" spans="1:11">
      <c r="A7" s="64" t="s">
        <v>2030</v>
      </c>
      <c r="B7" s="65" t="s">
        <v>2106</v>
      </c>
      <c r="C7" s="64" t="s">
        <v>1562</v>
      </c>
      <c r="D7" t="s">
        <v>1842</v>
      </c>
      <c r="E7" s="64"/>
      <c r="F7" s="64"/>
      <c r="G7" s="64"/>
      <c r="H7" s="64"/>
      <c r="I7" s="64"/>
      <c r="J7" s="64"/>
      <c r="K7" s="64"/>
    </row>
    <row r="8" spans="1:11">
      <c r="A8" s="64" t="s">
        <v>2030</v>
      </c>
      <c r="B8" s="65" t="s">
        <v>2106</v>
      </c>
      <c r="C8" s="64" t="s">
        <v>1562</v>
      </c>
      <c r="D8" t="s">
        <v>642</v>
      </c>
      <c r="E8" s="64">
        <v>1</v>
      </c>
      <c r="F8" s="64">
        <v>0</v>
      </c>
      <c r="G8" s="64">
        <v>1</v>
      </c>
      <c r="H8" s="64">
        <v>0</v>
      </c>
      <c r="I8" s="64">
        <v>0</v>
      </c>
      <c r="J8" s="64">
        <v>1</v>
      </c>
      <c r="K8" s="64"/>
    </row>
    <row r="9" spans="1:11">
      <c r="A9" s="64" t="s">
        <v>2030</v>
      </c>
      <c r="B9" s="65" t="s">
        <v>2106</v>
      </c>
      <c r="C9" s="64" t="s">
        <v>1562</v>
      </c>
      <c r="D9" t="s">
        <v>641</v>
      </c>
      <c r="E9" s="64">
        <v>1</v>
      </c>
      <c r="F9" s="64">
        <v>0</v>
      </c>
      <c r="G9" s="64">
        <v>1</v>
      </c>
      <c r="H9" s="64"/>
      <c r="I9" s="64"/>
      <c r="J9" s="64"/>
      <c r="K9" s="64"/>
    </row>
    <row r="10" spans="1:11">
      <c r="A10" s="64" t="s">
        <v>2030</v>
      </c>
      <c r="B10" s="65" t="s">
        <v>2106</v>
      </c>
      <c r="C10" s="64" t="s">
        <v>1562</v>
      </c>
      <c r="D10" t="s">
        <v>646</v>
      </c>
      <c r="E10" s="64">
        <v>1</v>
      </c>
      <c r="F10" s="64">
        <v>1</v>
      </c>
      <c r="G10" s="64">
        <v>1</v>
      </c>
      <c r="H10" s="64">
        <v>0</v>
      </c>
      <c r="I10" s="64">
        <v>1</v>
      </c>
      <c r="J10" s="64">
        <v>0</v>
      </c>
      <c r="K10" s="64"/>
    </row>
    <row r="11" spans="1:11">
      <c r="A11" s="64" t="s">
        <v>2030</v>
      </c>
      <c r="B11" s="65" t="s">
        <v>2106</v>
      </c>
      <c r="C11" s="64" t="s">
        <v>1562</v>
      </c>
      <c r="D11" t="s">
        <v>644</v>
      </c>
      <c r="E11" s="64">
        <v>1</v>
      </c>
      <c r="F11" s="64">
        <v>0</v>
      </c>
      <c r="G11" s="64">
        <v>1</v>
      </c>
      <c r="H11" s="64"/>
      <c r="I11" s="64"/>
      <c r="J11" s="64"/>
      <c r="K11" s="64"/>
    </row>
    <row r="12" spans="1:11">
      <c r="A12" s="64" t="s">
        <v>2030</v>
      </c>
      <c r="B12" s="65" t="s">
        <v>2106</v>
      </c>
      <c r="C12" s="64" t="s">
        <v>1562</v>
      </c>
      <c r="D12" t="s">
        <v>1869</v>
      </c>
      <c r="E12" s="64"/>
      <c r="F12" s="64"/>
      <c r="G12" s="64"/>
      <c r="H12" s="64">
        <v>1</v>
      </c>
      <c r="I12" s="64">
        <v>0</v>
      </c>
      <c r="J12" s="64">
        <v>0</v>
      </c>
      <c r="K12" s="64"/>
    </row>
    <row r="13" spans="1:11">
      <c r="A13" s="64" t="s">
        <v>2030</v>
      </c>
      <c r="B13" s="65" t="s">
        <v>2106</v>
      </c>
      <c r="C13" s="64" t="s">
        <v>1562</v>
      </c>
      <c r="D13" t="s">
        <v>635</v>
      </c>
      <c r="E13" s="64">
        <v>1</v>
      </c>
      <c r="F13" s="64">
        <v>0</v>
      </c>
      <c r="G13" s="64">
        <v>1</v>
      </c>
      <c r="H13" s="64"/>
      <c r="I13" s="64"/>
      <c r="J13" s="64"/>
      <c r="K13" s="64"/>
    </row>
    <row r="14" spans="1:11">
      <c r="A14" s="64" t="s">
        <v>2030</v>
      </c>
      <c r="B14" s="65" t="s">
        <v>2106</v>
      </c>
      <c r="C14" s="64" t="s">
        <v>1562</v>
      </c>
      <c r="D14" t="s">
        <v>1641</v>
      </c>
      <c r="E14" s="64"/>
      <c r="F14" s="64"/>
      <c r="G14" s="64"/>
      <c r="H14" s="64"/>
      <c r="I14" s="64"/>
      <c r="J14" s="64"/>
      <c r="K14" s="64"/>
    </row>
    <row r="15" spans="1:11">
      <c r="A15" s="64" t="s">
        <v>2030</v>
      </c>
      <c r="B15" s="65" t="s">
        <v>2106</v>
      </c>
      <c r="C15" s="64" t="s">
        <v>1562</v>
      </c>
      <c r="D15" t="s">
        <v>637</v>
      </c>
      <c r="E15" s="64"/>
      <c r="F15" s="64"/>
      <c r="G15" s="64"/>
      <c r="H15" s="64">
        <v>1</v>
      </c>
      <c r="I15" s="64">
        <v>1</v>
      </c>
      <c r="J15" s="64">
        <v>0</v>
      </c>
      <c r="K15" s="64"/>
    </row>
    <row r="16" spans="1:11">
      <c r="A16" s="64" t="s">
        <v>2030</v>
      </c>
      <c r="B16" s="65" t="s">
        <v>2106</v>
      </c>
      <c r="C16" s="64" t="s">
        <v>1562</v>
      </c>
      <c r="D16" t="s">
        <v>634</v>
      </c>
      <c r="E16" s="64">
        <v>1</v>
      </c>
      <c r="F16" s="64">
        <v>0</v>
      </c>
      <c r="G16" s="64">
        <v>1</v>
      </c>
      <c r="H16" s="64">
        <v>0</v>
      </c>
      <c r="I16" s="64">
        <v>0</v>
      </c>
      <c r="J16" s="64">
        <v>0</v>
      </c>
      <c r="K16" s="64"/>
    </row>
    <row r="17" spans="1:11">
      <c r="A17" s="64" t="s">
        <v>2030</v>
      </c>
      <c r="B17" s="65" t="s">
        <v>2106</v>
      </c>
      <c r="C17" s="64" t="s">
        <v>1796</v>
      </c>
      <c r="D17" t="s">
        <v>633</v>
      </c>
      <c r="E17" s="64">
        <v>1</v>
      </c>
      <c r="F17" s="64">
        <v>0</v>
      </c>
      <c r="G17" s="64">
        <v>1</v>
      </c>
      <c r="H17" s="64">
        <v>0</v>
      </c>
      <c r="I17" s="64">
        <v>0</v>
      </c>
      <c r="J17" s="64">
        <v>1</v>
      </c>
      <c r="K17" s="64"/>
    </row>
    <row r="18" spans="1:11">
      <c r="A18" s="64" t="s">
        <v>2030</v>
      </c>
      <c r="B18" s="65" t="s">
        <v>2106</v>
      </c>
      <c r="C18" s="64" t="s">
        <v>1562</v>
      </c>
      <c r="D18" t="s">
        <v>576</v>
      </c>
      <c r="E18" s="64"/>
      <c r="F18" s="64"/>
      <c r="G18" s="64"/>
      <c r="H18" s="64">
        <v>1</v>
      </c>
      <c r="I18" s="64">
        <v>0</v>
      </c>
      <c r="J18" s="64">
        <v>0</v>
      </c>
      <c r="K18" s="64"/>
    </row>
    <row r="19" spans="1:11">
      <c r="A19" s="64" t="s">
        <v>2030</v>
      </c>
      <c r="B19" s="65" t="s">
        <v>2106</v>
      </c>
      <c r="C19" s="64" t="s">
        <v>1562</v>
      </c>
      <c r="D19" t="s">
        <v>1932</v>
      </c>
      <c r="E19" s="64"/>
      <c r="F19" s="64"/>
      <c r="G19" s="64"/>
      <c r="H19" s="64"/>
      <c r="I19" s="64"/>
      <c r="J19" s="64"/>
      <c r="K19" s="64"/>
    </row>
    <row r="20" spans="1:11">
      <c r="A20" s="64" t="s">
        <v>2030</v>
      </c>
      <c r="B20" s="65" t="s">
        <v>2106</v>
      </c>
      <c r="C20" s="64" t="s">
        <v>1562</v>
      </c>
      <c r="D20" t="s">
        <v>1945</v>
      </c>
      <c r="E20" s="64"/>
      <c r="F20" s="64"/>
      <c r="G20" s="64"/>
      <c r="H20" s="64">
        <v>1</v>
      </c>
      <c r="I20" s="64"/>
      <c r="J20" s="64">
        <v>1</v>
      </c>
      <c r="K20" s="64"/>
    </row>
    <row r="21" spans="1:11">
      <c r="A21" s="64" t="s">
        <v>2030</v>
      </c>
      <c r="B21" s="65" t="s">
        <v>2106</v>
      </c>
      <c r="C21" s="64" t="s">
        <v>1562</v>
      </c>
      <c r="D21" t="s">
        <v>1948</v>
      </c>
      <c r="E21" s="64"/>
      <c r="F21" s="64"/>
      <c r="G21" s="64"/>
      <c r="H21" s="64">
        <v>1</v>
      </c>
      <c r="I21" s="64">
        <v>1</v>
      </c>
      <c r="J21" s="64">
        <v>0</v>
      </c>
      <c r="K21" s="64"/>
    </row>
    <row r="22" spans="1:11">
      <c r="A22" s="64" t="s">
        <v>2030</v>
      </c>
      <c r="B22" s="65" t="s">
        <v>2106</v>
      </c>
      <c r="C22" s="64" t="s">
        <v>1562</v>
      </c>
      <c r="D22" t="s">
        <v>518</v>
      </c>
      <c r="E22" s="64">
        <v>1</v>
      </c>
      <c r="F22" s="64">
        <v>0</v>
      </c>
      <c r="G22" s="64">
        <v>1</v>
      </c>
      <c r="H22" s="64">
        <v>1</v>
      </c>
      <c r="I22" s="64">
        <v>0</v>
      </c>
      <c r="J22" s="64">
        <v>1</v>
      </c>
      <c r="K22" s="64"/>
    </row>
    <row r="23" spans="1:11">
      <c r="A23" s="64" t="s">
        <v>2030</v>
      </c>
      <c r="B23" s="65" t="s">
        <v>2106</v>
      </c>
      <c r="C23" s="64" t="s">
        <v>1562</v>
      </c>
      <c r="D23" t="s">
        <v>631</v>
      </c>
      <c r="E23" s="64">
        <v>1</v>
      </c>
      <c r="F23" s="64">
        <v>0</v>
      </c>
      <c r="G23" s="64">
        <v>1</v>
      </c>
      <c r="H23" s="64"/>
      <c r="I23" s="64"/>
      <c r="J23" s="64"/>
      <c r="K23" s="64"/>
    </row>
    <row r="24" spans="1:11">
      <c r="A24" s="64" t="s">
        <v>2030</v>
      </c>
      <c r="B24" s="65" t="s">
        <v>2106</v>
      </c>
      <c r="C24" s="64" t="s">
        <v>1562</v>
      </c>
      <c r="D24" t="s">
        <v>632</v>
      </c>
      <c r="E24" s="64">
        <v>1</v>
      </c>
      <c r="F24" s="64">
        <v>0</v>
      </c>
      <c r="G24" s="64">
        <v>1</v>
      </c>
      <c r="H24" s="64"/>
      <c r="I24" s="64"/>
      <c r="J24" s="64"/>
      <c r="K24" s="64"/>
    </row>
    <row r="25" spans="1:11">
      <c r="A25" s="64" t="s">
        <v>2030</v>
      </c>
      <c r="B25" s="65" t="s">
        <v>2106</v>
      </c>
      <c r="C25" s="71" t="s">
        <v>1562</v>
      </c>
      <c r="D25" t="s">
        <v>660</v>
      </c>
      <c r="E25" s="64">
        <v>1</v>
      </c>
      <c r="F25" s="64">
        <v>0</v>
      </c>
      <c r="G25" s="64">
        <v>1</v>
      </c>
      <c r="H25" s="64"/>
      <c r="I25" s="64"/>
      <c r="J25" s="64"/>
      <c r="K25" s="64"/>
    </row>
    <row r="26" spans="1:11">
      <c r="A26" s="64" t="s">
        <v>2030</v>
      </c>
      <c r="B26" s="65" t="s">
        <v>2106</v>
      </c>
      <c r="C26" s="64" t="s">
        <v>1562</v>
      </c>
      <c r="D26" t="s">
        <v>643</v>
      </c>
      <c r="E26" s="64"/>
      <c r="F26" s="64"/>
      <c r="G26" s="64"/>
      <c r="H26" s="64"/>
      <c r="I26" s="64"/>
      <c r="J26" s="64"/>
      <c r="K26" s="64"/>
    </row>
    <row r="27" spans="1:11">
      <c r="A27" s="64" t="s">
        <v>2030</v>
      </c>
      <c r="B27" s="65" t="s">
        <v>2106</v>
      </c>
      <c r="C27" s="64" t="s">
        <v>1562</v>
      </c>
      <c r="D27" t="s">
        <v>640</v>
      </c>
      <c r="E27" s="64"/>
      <c r="F27" s="64"/>
      <c r="G27" s="64"/>
      <c r="H27" s="64">
        <v>1</v>
      </c>
      <c r="I27" s="64">
        <v>0</v>
      </c>
      <c r="J27" s="64">
        <v>1</v>
      </c>
      <c r="K27" s="64"/>
    </row>
    <row r="28" spans="1:11">
      <c r="A28" s="64" t="s">
        <v>2030</v>
      </c>
      <c r="B28" s="65" t="s">
        <v>2106</v>
      </c>
      <c r="C28" s="64" t="s">
        <v>1562</v>
      </c>
      <c r="D28" t="s">
        <v>639</v>
      </c>
      <c r="E28" s="64"/>
      <c r="F28" s="64"/>
      <c r="G28" s="64"/>
      <c r="H28" s="64">
        <v>1</v>
      </c>
      <c r="I28" s="64">
        <v>1</v>
      </c>
      <c r="J28" s="64">
        <v>0</v>
      </c>
      <c r="K28" s="64"/>
    </row>
    <row r="29" spans="1:11">
      <c r="A29" s="64" t="s">
        <v>2030</v>
      </c>
      <c r="B29" s="65" t="s">
        <v>2106</v>
      </c>
      <c r="C29" s="64" t="s">
        <v>1562</v>
      </c>
      <c r="D29" t="s">
        <v>645</v>
      </c>
      <c r="E29" s="64">
        <v>0</v>
      </c>
      <c r="F29" s="64">
        <v>1</v>
      </c>
      <c r="G29" s="64">
        <v>1</v>
      </c>
      <c r="H29" s="64"/>
      <c r="I29" s="64"/>
      <c r="J29" s="64"/>
      <c r="K29" s="64"/>
    </row>
    <row r="30" spans="1:11">
      <c r="A30" s="64" t="s">
        <v>2030</v>
      </c>
      <c r="B30" s="65" t="s">
        <v>2106</v>
      </c>
      <c r="C30" s="64" t="s">
        <v>1562</v>
      </c>
      <c r="D30" t="s">
        <v>2025</v>
      </c>
      <c r="E30" s="64"/>
      <c r="F30" s="64"/>
      <c r="G30" s="64"/>
      <c r="H30" s="64">
        <v>1</v>
      </c>
      <c r="I30" s="64">
        <v>0</v>
      </c>
      <c r="J30" s="64">
        <v>0</v>
      </c>
      <c r="K30" s="64"/>
    </row>
    <row r="31" spans="1:11">
      <c r="A31" s="65" t="s">
        <v>2028</v>
      </c>
      <c r="B31" s="65" t="s">
        <v>2106</v>
      </c>
      <c r="C31" s="65" t="s">
        <v>1638</v>
      </c>
      <c r="D31" t="s">
        <v>601</v>
      </c>
      <c r="E31" s="64"/>
      <c r="F31" s="64"/>
      <c r="G31" s="64"/>
      <c r="H31" s="64"/>
      <c r="I31" s="64"/>
      <c r="J31" s="64"/>
      <c r="K31" s="64"/>
    </row>
    <row r="32" spans="1:11">
      <c r="A32" s="65" t="s">
        <v>2028</v>
      </c>
      <c r="B32" s="65" t="s">
        <v>2106</v>
      </c>
      <c r="C32" s="65" t="s">
        <v>1638</v>
      </c>
      <c r="D32" t="s">
        <v>618</v>
      </c>
      <c r="E32" s="64"/>
      <c r="F32" s="64"/>
      <c r="G32" s="64"/>
      <c r="H32" s="64"/>
      <c r="I32" s="64"/>
      <c r="J32" s="64"/>
      <c r="K32" s="64"/>
    </row>
    <row r="33" spans="1:11">
      <c r="A33" s="65" t="s">
        <v>2028</v>
      </c>
      <c r="B33" s="65" t="s">
        <v>2106</v>
      </c>
      <c r="C33" s="65" t="s">
        <v>1638</v>
      </c>
      <c r="D33" t="s">
        <v>575</v>
      </c>
      <c r="E33" s="64">
        <v>1</v>
      </c>
      <c r="F33" s="64">
        <v>1</v>
      </c>
      <c r="G33" s="64">
        <v>1</v>
      </c>
      <c r="H33" s="64"/>
      <c r="I33" s="64"/>
      <c r="J33" s="64"/>
      <c r="K33" s="64"/>
    </row>
    <row r="34" spans="1:11">
      <c r="A34" s="65" t="s">
        <v>2028</v>
      </c>
      <c r="B34" s="65" t="s">
        <v>2106</v>
      </c>
      <c r="C34" s="65" t="s">
        <v>1638</v>
      </c>
      <c r="D34" t="s">
        <v>1647</v>
      </c>
      <c r="E34" s="64">
        <v>1</v>
      </c>
      <c r="F34" s="64">
        <v>0</v>
      </c>
      <c r="G34" s="64">
        <v>0</v>
      </c>
      <c r="H34" s="64"/>
      <c r="I34" s="64"/>
      <c r="J34" s="64"/>
      <c r="K34" s="64"/>
    </row>
    <row r="35" spans="1:11">
      <c r="A35" s="65" t="s">
        <v>2028</v>
      </c>
      <c r="B35" s="65" t="s">
        <v>2106</v>
      </c>
      <c r="C35" s="65" t="s">
        <v>1638</v>
      </c>
      <c r="D35" t="s">
        <v>592</v>
      </c>
      <c r="E35" s="64"/>
      <c r="F35" s="64"/>
      <c r="G35" s="64"/>
      <c r="H35" s="64"/>
      <c r="I35" s="64"/>
      <c r="J35" s="64"/>
      <c r="K35" s="64"/>
    </row>
    <row r="36" spans="1:11">
      <c r="A36" s="65" t="s">
        <v>2028</v>
      </c>
      <c r="B36" s="65" t="s">
        <v>2106</v>
      </c>
      <c r="C36" s="65" t="s">
        <v>1638</v>
      </c>
      <c r="D36" t="s">
        <v>638</v>
      </c>
      <c r="E36" s="64"/>
      <c r="F36" s="64"/>
      <c r="G36" s="64"/>
      <c r="H36" s="64">
        <v>1</v>
      </c>
      <c r="I36" s="65">
        <v>1</v>
      </c>
      <c r="J36" s="65">
        <v>0</v>
      </c>
      <c r="K36" s="64"/>
    </row>
    <row r="37" spans="1:11">
      <c r="A37" s="65" t="s">
        <v>2028</v>
      </c>
      <c r="B37" s="65" t="s">
        <v>2106</v>
      </c>
      <c r="C37" s="65" t="s">
        <v>1638</v>
      </c>
      <c r="D37" t="s">
        <v>604</v>
      </c>
      <c r="E37" s="64"/>
      <c r="F37" s="64"/>
      <c r="G37" s="64"/>
      <c r="H37" s="64">
        <v>0</v>
      </c>
      <c r="I37" s="65">
        <v>1</v>
      </c>
      <c r="J37" s="65">
        <v>1</v>
      </c>
      <c r="K37" s="64"/>
    </row>
    <row r="38" spans="1:11">
      <c r="A38" s="65" t="s">
        <v>2028</v>
      </c>
      <c r="B38" s="65" t="s">
        <v>2106</v>
      </c>
      <c r="C38" s="65" t="s">
        <v>1638</v>
      </c>
      <c r="D38" t="s">
        <v>1656</v>
      </c>
      <c r="E38" s="64"/>
      <c r="F38" s="64"/>
      <c r="G38" s="64"/>
      <c r="H38" s="64"/>
      <c r="I38" s="64"/>
      <c r="J38" s="64"/>
      <c r="K38" s="64"/>
    </row>
    <row r="39" spans="1:11">
      <c r="A39" s="65" t="s">
        <v>2028</v>
      </c>
      <c r="B39" s="65" t="s">
        <v>2106</v>
      </c>
      <c r="C39" s="65" t="s">
        <v>1638</v>
      </c>
      <c r="D39" t="s">
        <v>602</v>
      </c>
      <c r="E39" s="64">
        <v>1</v>
      </c>
      <c r="F39" s="64">
        <v>1</v>
      </c>
      <c r="G39" s="64">
        <v>0</v>
      </c>
      <c r="H39" s="64"/>
      <c r="I39" s="64"/>
      <c r="J39" s="64"/>
      <c r="K39" s="64"/>
    </row>
    <row r="40" spans="1:11">
      <c r="A40" s="65" t="s">
        <v>2028</v>
      </c>
      <c r="B40" s="65" t="s">
        <v>2106</v>
      </c>
      <c r="C40" s="65" t="s">
        <v>1638</v>
      </c>
      <c r="D40" t="s">
        <v>1648</v>
      </c>
      <c r="E40" s="64"/>
      <c r="F40" s="64"/>
      <c r="G40" s="64"/>
      <c r="H40" s="64">
        <v>1</v>
      </c>
      <c r="I40" s="64">
        <v>1</v>
      </c>
      <c r="J40" s="64">
        <v>0</v>
      </c>
      <c r="K40" s="64"/>
    </row>
    <row r="41" spans="1:11">
      <c r="A41" s="65" t="s">
        <v>2028</v>
      </c>
      <c r="B41" s="65" t="s">
        <v>2106</v>
      </c>
      <c r="C41" s="64" t="s">
        <v>1638</v>
      </c>
      <c r="D41" t="s">
        <v>572</v>
      </c>
      <c r="E41" s="64">
        <v>0</v>
      </c>
      <c r="F41" s="64">
        <v>0</v>
      </c>
      <c r="G41" s="64">
        <v>1</v>
      </c>
      <c r="H41" s="64"/>
      <c r="I41" s="64"/>
      <c r="J41" s="64"/>
      <c r="K41" s="64"/>
    </row>
    <row r="42" spans="1:11">
      <c r="A42" s="65" t="s">
        <v>2028</v>
      </c>
      <c r="B42" s="65" t="s">
        <v>2106</v>
      </c>
      <c r="C42" s="64" t="s">
        <v>1638</v>
      </c>
      <c r="D42" t="s">
        <v>573</v>
      </c>
      <c r="E42" s="64">
        <v>0</v>
      </c>
      <c r="F42" s="64">
        <v>0</v>
      </c>
      <c r="G42" s="64">
        <v>1</v>
      </c>
      <c r="H42" s="64">
        <v>1</v>
      </c>
      <c r="I42" s="64">
        <v>1</v>
      </c>
      <c r="J42" s="64">
        <v>0</v>
      </c>
      <c r="K42" s="64"/>
    </row>
    <row r="43" spans="1:11">
      <c r="A43" s="65" t="s">
        <v>2028</v>
      </c>
      <c r="B43" s="65" t="s">
        <v>2106</v>
      </c>
      <c r="C43" s="65" t="s">
        <v>1638</v>
      </c>
      <c r="D43" t="s">
        <v>603</v>
      </c>
      <c r="E43" s="64"/>
      <c r="F43" s="64"/>
      <c r="G43" s="64"/>
      <c r="H43" s="64"/>
      <c r="I43" s="64"/>
      <c r="J43" s="64"/>
      <c r="K43" s="64"/>
    </row>
    <row r="44" spans="1:11">
      <c r="A44" s="65" t="s">
        <v>2028</v>
      </c>
      <c r="B44" s="65" t="s">
        <v>2106</v>
      </c>
      <c r="C44" s="65" t="s">
        <v>1638</v>
      </c>
      <c r="D44" t="s">
        <v>1649</v>
      </c>
      <c r="E44" s="64"/>
      <c r="F44" s="64"/>
      <c r="G44" s="64"/>
      <c r="H44" s="64"/>
      <c r="I44" s="64"/>
      <c r="J44" s="64"/>
      <c r="K44" s="64"/>
    </row>
    <row r="45" spans="1:11">
      <c r="A45" s="65" t="s">
        <v>2028</v>
      </c>
      <c r="B45" s="65" t="s">
        <v>2106</v>
      </c>
      <c r="C45" s="65" t="s">
        <v>1638</v>
      </c>
      <c r="D45" t="s">
        <v>611</v>
      </c>
      <c r="E45" s="64"/>
      <c r="F45" s="64"/>
      <c r="G45" s="64"/>
      <c r="H45" s="64"/>
      <c r="I45" s="64"/>
      <c r="J45" s="64"/>
      <c r="K45" s="64"/>
    </row>
    <row r="46" spans="1:11">
      <c r="A46" s="65" t="s">
        <v>2028</v>
      </c>
      <c r="B46" s="65" t="s">
        <v>2106</v>
      </c>
      <c r="C46" s="65" t="s">
        <v>1638</v>
      </c>
      <c r="D46" t="s">
        <v>1871</v>
      </c>
      <c r="E46" s="64"/>
      <c r="F46" s="64"/>
      <c r="G46" s="64"/>
      <c r="H46" s="64"/>
      <c r="I46" s="64"/>
      <c r="J46" s="64"/>
      <c r="K46" s="64"/>
    </row>
    <row r="47" spans="1:11">
      <c r="A47" s="65" t="s">
        <v>2028</v>
      </c>
      <c r="B47" s="65" t="s">
        <v>2106</v>
      </c>
      <c r="C47" s="64" t="s">
        <v>1638</v>
      </c>
      <c r="D47" t="s">
        <v>1751</v>
      </c>
      <c r="E47" s="64">
        <v>1</v>
      </c>
      <c r="F47" s="64">
        <v>1</v>
      </c>
      <c r="G47" s="64">
        <v>0</v>
      </c>
      <c r="H47" s="64"/>
      <c r="I47" s="64"/>
      <c r="J47" s="64"/>
      <c r="K47" s="64"/>
    </row>
    <row r="48" spans="1:11">
      <c r="A48" s="65" t="s">
        <v>2028</v>
      </c>
      <c r="B48" s="65" t="s">
        <v>2106</v>
      </c>
      <c r="C48" s="64" t="s">
        <v>1638</v>
      </c>
      <c r="D48" t="s">
        <v>584</v>
      </c>
      <c r="E48" s="64">
        <v>0</v>
      </c>
      <c r="F48" s="64">
        <v>0</v>
      </c>
      <c r="G48" s="64">
        <v>1</v>
      </c>
      <c r="H48" s="64"/>
      <c r="I48" s="64"/>
      <c r="J48" s="64"/>
      <c r="K48" s="64"/>
    </row>
    <row r="49" spans="1:11">
      <c r="A49" s="65" t="s">
        <v>2028</v>
      </c>
      <c r="B49" s="65" t="s">
        <v>2106</v>
      </c>
      <c r="C49" s="65" t="s">
        <v>1638</v>
      </c>
      <c r="D49" t="s">
        <v>587</v>
      </c>
      <c r="E49" s="64"/>
      <c r="F49" s="64"/>
      <c r="G49" s="64"/>
      <c r="H49" s="64"/>
      <c r="I49" s="64"/>
      <c r="J49" s="64"/>
      <c r="K49" s="64"/>
    </row>
    <row r="50" spans="1:11">
      <c r="A50" s="65" t="s">
        <v>2028</v>
      </c>
      <c r="B50" s="65" t="s">
        <v>2106</v>
      </c>
      <c r="C50" s="65" t="s">
        <v>1638</v>
      </c>
      <c r="D50" t="s">
        <v>901</v>
      </c>
      <c r="E50" s="64"/>
      <c r="F50" s="64"/>
      <c r="G50" s="64"/>
      <c r="H50" s="64"/>
      <c r="I50" s="64"/>
      <c r="J50" s="64"/>
      <c r="K50" s="64"/>
    </row>
    <row r="51" spans="1:11">
      <c r="A51" s="65" t="s">
        <v>2028</v>
      </c>
      <c r="B51" s="65" t="s">
        <v>2106</v>
      </c>
      <c r="C51" s="65" t="s">
        <v>1638</v>
      </c>
      <c r="D51" t="s">
        <v>621</v>
      </c>
      <c r="E51" s="64"/>
      <c r="F51" s="64"/>
      <c r="G51" s="64"/>
      <c r="H51" s="64"/>
      <c r="I51" s="64"/>
      <c r="J51" s="64"/>
      <c r="K51" s="64"/>
    </row>
    <row r="52" spans="1:11">
      <c r="A52" s="65" t="s">
        <v>2028</v>
      </c>
      <c r="B52" s="65" t="s">
        <v>2106</v>
      </c>
      <c r="C52" s="65" t="s">
        <v>1638</v>
      </c>
      <c r="D52" t="s">
        <v>1657</v>
      </c>
      <c r="E52" s="64"/>
      <c r="F52" s="64"/>
      <c r="G52" s="64"/>
      <c r="H52" s="64"/>
      <c r="I52" s="64"/>
      <c r="J52" s="64"/>
      <c r="K52" s="64"/>
    </row>
    <row r="53" spans="1:11">
      <c r="A53" s="65" t="s">
        <v>2028</v>
      </c>
      <c r="B53" s="65" t="s">
        <v>2106</v>
      </c>
      <c r="C53" s="65" t="s">
        <v>1638</v>
      </c>
      <c r="D53" t="s">
        <v>1617</v>
      </c>
      <c r="E53" s="64"/>
      <c r="F53" s="64"/>
      <c r="G53" s="64"/>
      <c r="H53" s="64">
        <v>0</v>
      </c>
      <c r="I53" s="64">
        <v>1</v>
      </c>
      <c r="J53" s="64">
        <v>0</v>
      </c>
      <c r="K53" s="64"/>
    </row>
    <row r="54" spans="1:11">
      <c r="A54" s="65" t="s">
        <v>2028</v>
      </c>
      <c r="B54" s="65" t="s">
        <v>2106</v>
      </c>
      <c r="C54" s="65" t="s">
        <v>1638</v>
      </c>
      <c r="D54" t="s">
        <v>589</v>
      </c>
      <c r="E54" s="64">
        <v>0</v>
      </c>
      <c r="F54" s="64">
        <v>0</v>
      </c>
      <c r="G54" s="64">
        <v>1</v>
      </c>
      <c r="H54" s="64"/>
      <c r="I54" s="64"/>
      <c r="J54" s="64"/>
      <c r="K54" s="64"/>
    </row>
    <row r="55" spans="1:11">
      <c r="A55" s="65" t="s">
        <v>2028</v>
      </c>
      <c r="B55" s="65" t="s">
        <v>2106</v>
      </c>
      <c r="C55" s="65" t="s">
        <v>1638</v>
      </c>
      <c r="D55" t="s">
        <v>588</v>
      </c>
      <c r="E55" s="64">
        <v>1</v>
      </c>
      <c r="F55" s="64">
        <v>1</v>
      </c>
      <c r="G55" s="64">
        <v>1</v>
      </c>
      <c r="H55" s="64">
        <v>0</v>
      </c>
      <c r="I55" s="64">
        <v>1</v>
      </c>
      <c r="J55" s="64">
        <v>1</v>
      </c>
      <c r="K55" s="64"/>
    </row>
    <row r="56" spans="1:11">
      <c r="A56" s="65" t="s">
        <v>2028</v>
      </c>
      <c r="B56" s="65" t="s">
        <v>2106</v>
      </c>
      <c r="C56" s="65" t="s">
        <v>1638</v>
      </c>
      <c r="D56" t="s">
        <v>1642</v>
      </c>
      <c r="E56" s="64"/>
      <c r="F56" s="64"/>
      <c r="G56" s="64"/>
      <c r="H56" s="64"/>
      <c r="I56" s="64"/>
      <c r="J56" s="64"/>
      <c r="K56" s="64"/>
    </row>
    <row r="57" spans="1:11">
      <c r="A57" s="65" t="s">
        <v>2028</v>
      </c>
      <c r="B57" s="65" t="s">
        <v>2106</v>
      </c>
      <c r="C57" s="65" t="s">
        <v>1638</v>
      </c>
      <c r="D57" t="s">
        <v>1641</v>
      </c>
      <c r="E57" s="64"/>
      <c r="F57" s="64"/>
      <c r="G57" s="64"/>
      <c r="H57" s="64">
        <v>1</v>
      </c>
      <c r="I57" s="64">
        <v>0</v>
      </c>
      <c r="J57" s="64">
        <v>1</v>
      </c>
      <c r="K57" s="64"/>
    </row>
    <row r="58" spans="1:11">
      <c r="A58" s="65" t="s">
        <v>2028</v>
      </c>
      <c r="B58" s="65" t="s">
        <v>2106</v>
      </c>
      <c r="C58" s="65" t="s">
        <v>1638</v>
      </c>
      <c r="D58" t="s">
        <v>1651</v>
      </c>
      <c r="E58" s="64"/>
      <c r="F58" s="64"/>
      <c r="G58" s="64"/>
      <c r="H58" s="64"/>
      <c r="I58" s="64"/>
      <c r="J58" s="64"/>
      <c r="K58" s="64"/>
    </row>
    <row r="59" spans="1:11">
      <c r="A59" s="65" t="s">
        <v>2028</v>
      </c>
      <c r="B59" s="65" t="s">
        <v>2106</v>
      </c>
      <c r="C59" s="65" t="s">
        <v>1638</v>
      </c>
      <c r="D59" t="s">
        <v>662</v>
      </c>
      <c r="E59" s="64"/>
      <c r="F59" s="64"/>
      <c r="G59" s="64"/>
      <c r="H59" s="64"/>
      <c r="I59" s="64"/>
      <c r="J59" s="64"/>
      <c r="K59" s="64"/>
    </row>
    <row r="60" spans="1:11">
      <c r="A60" s="65" t="s">
        <v>2028</v>
      </c>
      <c r="B60" s="65" t="s">
        <v>2106</v>
      </c>
      <c r="C60" s="65" t="s">
        <v>1638</v>
      </c>
      <c r="D60" t="s">
        <v>1646</v>
      </c>
      <c r="E60" s="64"/>
      <c r="F60" s="64"/>
      <c r="G60" s="64"/>
      <c r="H60" s="64">
        <v>1</v>
      </c>
      <c r="I60" s="64">
        <v>0</v>
      </c>
      <c r="J60" s="64">
        <v>0</v>
      </c>
      <c r="K60" s="64"/>
    </row>
    <row r="61" spans="1:11">
      <c r="A61" s="65" t="s">
        <v>2028</v>
      </c>
      <c r="B61" s="65" t="s">
        <v>2106</v>
      </c>
      <c r="C61" s="65" t="s">
        <v>1638</v>
      </c>
      <c r="D61" t="s">
        <v>571</v>
      </c>
      <c r="E61" s="64">
        <v>1</v>
      </c>
      <c r="F61" s="64">
        <v>1</v>
      </c>
      <c r="G61" s="64">
        <v>1</v>
      </c>
      <c r="H61" s="64"/>
      <c r="I61" s="64"/>
      <c r="J61" s="64"/>
      <c r="K61" s="64"/>
    </row>
    <row r="62" spans="1:11">
      <c r="A62" s="65" t="s">
        <v>2028</v>
      </c>
      <c r="B62" s="65" t="s">
        <v>2106</v>
      </c>
      <c r="C62" s="65" t="s">
        <v>1638</v>
      </c>
      <c r="D62" t="s">
        <v>576</v>
      </c>
      <c r="E62" s="64"/>
      <c r="F62" s="64"/>
      <c r="G62" s="64"/>
      <c r="H62" s="64"/>
      <c r="I62" s="64"/>
      <c r="J62" s="64"/>
      <c r="K62" s="64"/>
    </row>
    <row r="63" spans="1:11">
      <c r="A63" s="65" t="s">
        <v>2028</v>
      </c>
      <c r="B63" s="65" t="s">
        <v>2106</v>
      </c>
      <c r="C63" s="65" t="s">
        <v>1638</v>
      </c>
      <c r="D63" t="s">
        <v>595</v>
      </c>
      <c r="E63" s="64">
        <v>1</v>
      </c>
      <c r="F63" s="64">
        <v>1</v>
      </c>
      <c r="G63" s="64">
        <v>1</v>
      </c>
      <c r="H63" s="64">
        <v>1</v>
      </c>
      <c r="I63" s="64">
        <v>0</v>
      </c>
      <c r="J63" s="64">
        <v>0</v>
      </c>
      <c r="K63" s="64"/>
    </row>
    <row r="64" spans="1:11">
      <c r="A64" s="65" t="s">
        <v>2028</v>
      </c>
      <c r="B64" s="65" t="s">
        <v>2106</v>
      </c>
      <c r="C64" s="65" t="s">
        <v>1638</v>
      </c>
      <c r="D64" t="s">
        <v>598</v>
      </c>
      <c r="E64" s="64"/>
      <c r="F64" s="64"/>
      <c r="G64" s="64"/>
      <c r="H64" s="64"/>
      <c r="I64" s="64"/>
      <c r="J64" s="64"/>
      <c r="K64" s="64"/>
    </row>
    <row r="65" spans="1:11">
      <c r="A65" s="65" t="s">
        <v>2028</v>
      </c>
      <c r="B65" s="65" t="s">
        <v>2106</v>
      </c>
      <c r="C65" s="64" t="s">
        <v>1638</v>
      </c>
      <c r="D65" t="s">
        <v>2253</v>
      </c>
      <c r="E65" s="64">
        <v>1</v>
      </c>
      <c r="F65" s="64">
        <v>1</v>
      </c>
      <c r="G65" s="64">
        <v>1</v>
      </c>
      <c r="H65" s="64"/>
      <c r="I65" s="64"/>
      <c r="J65" s="64"/>
      <c r="K65" s="64"/>
    </row>
    <row r="66" spans="1:11">
      <c r="A66" s="65" t="s">
        <v>2028</v>
      </c>
      <c r="B66" s="65" t="s">
        <v>2106</v>
      </c>
      <c r="C66" s="65" t="s">
        <v>1638</v>
      </c>
      <c r="D66" t="s">
        <v>608</v>
      </c>
      <c r="E66" s="64"/>
      <c r="F66" s="64"/>
      <c r="G66" s="64"/>
      <c r="H66" s="64">
        <v>0</v>
      </c>
      <c r="I66" s="64">
        <v>1</v>
      </c>
      <c r="J66" s="64">
        <v>1</v>
      </c>
      <c r="K66" s="64"/>
    </row>
    <row r="67" spans="1:11">
      <c r="A67" s="65" t="s">
        <v>2028</v>
      </c>
      <c r="B67" s="65" t="s">
        <v>2106</v>
      </c>
      <c r="C67" s="65" t="s">
        <v>1638</v>
      </c>
      <c r="D67" t="s">
        <v>500</v>
      </c>
      <c r="E67" s="64"/>
      <c r="F67" s="64"/>
      <c r="G67" s="64"/>
      <c r="H67" s="64"/>
      <c r="I67" s="64"/>
      <c r="J67" s="64"/>
      <c r="K67" s="64"/>
    </row>
    <row r="68" spans="1:11">
      <c r="A68" s="65" t="s">
        <v>2028</v>
      </c>
      <c r="B68" s="65" t="s">
        <v>2106</v>
      </c>
      <c r="C68" s="65" t="s">
        <v>1638</v>
      </c>
      <c r="D68" t="s">
        <v>606</v>
      </c>
      <c r="E68" s="64"/>
      <c r="F68" s="64"/>
      <c r="G68" s="64"/>
      <c r="H68" s="64"/>
      <c r="I68" s="64"/>
      <c r="J68" s="64"/>
      <c r="K68" s="64"/>
    </row>
    <row r="69" spans="1:11">
      <c r="A69" s="65" t="s">
        <v>2028</v>
      </c>
      <c r="B69" s="65" t="s">
        <v>2106</v>
      </c>
      <c r="C69" s="65" t="s">
        <v>1638</v>
      </c>
      <c r="D69" t="s">
        <v>1652</v>
      </c>
      <c r="E69" s="64"/>
      <c r="F69" s="64"/>
      <c r="G69" s="64"/>
      <c r="H69" s="64"/>
      <c r="I69" s="64"/>
      <c r="J69" s="64"/>
      <c r="K69" s="64"/>
    </row>
    <row r="70" spans="1:11">
      <c r="A70" s="65" t="s">
        <v>2028</v>
      </c>
      <c r="B70" s="65" t="s">
        <v>2106</v>
      </c>
      <c r="C70" s="65" t="s">
        <v>1638</v>
      </c>
      <c r="D70" t="s">
        <v>1621</v>
      </c>
      <c r="E70" s="64"/>
      <c r="F70" s="64"/>
      <c r="G70" s="64"/>
      <c r="H70" s="64"/>
      <c r="I70" s="64"/>
      <c r="J70" s="64"/>
      <c r="K70" s="64"/>
    </row>
    <row r="71" spans="1:11">
      <c r="A71" s="65" t="s">
        <v>2028</v>
      </c>
      <c r="B71" s="65" t="s">
        <v>2106</v>
      </c>
      <c r="C71" s="64" t="s">
        <v>1638</v>
      </c>
      <c r="D71" t="s">
        <v>1048</v>
      </c>
      <c r="E71" s="64">
        <v>0</v>
      </c>
      <c r="F71" s="64">
        <v>0</v>
      </c>
      <c r="G71" s="64">
        <v>1</v>
      </c>
      <c r="H71" s="64"/>
      <c r="I71" s="64"/>
      <c r="J71" s="64"/>
      <c r="K71" s="64"/>
    </row>
    <row r="72" spans="1:11">
      <c r="A72" s="65" t="s">
        <v>2028</v>
      </c>
      <c r="B72" s="65" t="s">
        <v>2106</v>
      </c>
      <c r="C72" s="65" t="s">
        <v>1638</v>
      </c>
      <c r="D72" t="s">
        <v>1644</v>
      </c>
      <c r="E72" s="64"/>
      <c r="F72" s="64"/>
      <c r="G72" s="64"/>
      <c r="H72" s="64"/>
      <c r="I72" s="64"/>
      <c r="J72" s="64"/>
      <c r="K72" s="64"/>
    </row>
    <row r="73" spans="1:11">
      <c r="A73" s="65" t="s">
        <v>2028</v>
      </c>
      <c r="B73" s="65" t="s">
        <v>2106</v>
      </c>
      <c r="C73" s="65" t="s">
        <v>1638</v>
      </c>
      <c r="D73" t="s">
        <v>582</v>
      </c>
      <c r="E73" s="64">
        <v>0</v>
      </c>
      <c r="F73" s="64">
        <v>0</v>
      </c>
      <c r="G73" s="64">
        <v>1</v>
      </c>
      <c r="H73" s="64">
        <v>1</v>
      </c>
      <c r="I73" s="65">
        <v>0</v>
      </c>
      <c r="J73" s="65">
        <v>0</v>
      </c>
      <c r="K73" s="64"/>
    </row>
    <row r="74" spans="1:11">
      <c r="A74" s="65" t="s">
        <v>2028</v>
      </c>
      <c r="B74" s="65" t="s">
        <v>2106</v>
      </c>
      <c r="C74" s="65" t="s">
        <v>1638</v>
      </c>
      <c r="D74" t="s">
        <v>574</v>
      </c>
      <c r="E74" s="64">
        <v>0</v>
      </c>
      <c r="F74" s="64">
        <v>0</v>
      </c>
      <c r="G74" s="64">
        <v>1</v>
      </c>
      <c r="H74" s="64"/>
      <c r="I74" s="64"/>
      <c r="J74" s="64"/>
      <c r="K74" s="64"/>
    </row>
    <row r="75" spans="1:11">
      <c r="A75" s="65" t="s">
        <v>2028</v>
      </c>
      <c r="B75" s="65" t="s">
        <v>2106</v>
      </c>
      <c r="C75" s="65" t="s">
        <v>1638</v>
      </c>
      <c r="D75" t="s">
        <v>586</v>
      </c>
      <c r="E75" s="64"/>
      <c r="F75" s="64"/>
      <c r="G75" s="64"/>
      <c r="H75" s="64"/>
      <c r="I75" s="64"/>
      <c r="J75" s="64"/>
      <c r="K75" s="64"/>
    </row>
    <row r="76" spans="1:11">
      <c r="A76" s="65" t="s">
        <v>2028</v>
      </c>
      <c r="B76" s="65" t="s">
        <v>2106</v>
      </c>
      <c r="C76" s="71" t="s">
        <v>1638</v>
      </c>
      <c r="D76" t="s">
        <v>657</v>
      </c>
      <c r="E76" s="64">
        <v>1</v>
      </c>
      <c r="F76" s="64">
        <v>1</v>
      </c>
      <c r="G76" s="64">
        <v>1</v>
      </c>
      <c r="H76" s="64"/>
      <c r="I76" s="64"/>
      <c r="J76" s="64"/>
      <c r="K76" s="64"/>
    </row>
    <row r="77" spans="1:11">
      <c r="A77" s="65" t="s">
        <v>2028</v>
      </c>
      <c r="B77" s="65" t="s">
        <v>2106</v>
      </c>
      <c r="C77" s="65" t="s">
        <v>1638</v>
      </c>
      <c r="D77" t="s">
        <v>1640</v>
      </c>
      <c r="E77" s="64"/>
      <c r="F77" s="64"/>
      <c r="G77" s="64"/>
      <c r="H77" s="64"/>
      <c r="I77" s="64"/>
      <c r="J77" s="64"/>
      <c r="K77" s="64"/>
    </row>
    <row r="78" spans="1:11">
      <c r="A78" s="65" t="s">
        <v>2028</v>
      </c>
      <c r="B78" s="65" t="s">
        <v>2106</v>
      </c>
      <c r="C78" s="65" t="s">
        <v>1638</v>
      </c>
      <c r="D78" t="s">
        <v>585</v>
      </c>
      <c r="E78" s="64">
        <v>1</v>
      </c>
      <c r="F78" s="64">
        <v>0</v>
      </c>
      <c r="G78" s="64">
        <v>1</v>
      </c>
      <c r="H78" s="64"/>
      <c r="I78" s="64"/>
      <c r="J78" s="64"/>
      <c r="K78" s="64"/>
    </row>
    <row r="79" spans="1:11">
      <c r="A79" s="65" t="s">
        <v>2028</v>
      </c>
      <c r="B79" s="65" t="s">
        <v>2106</v>
      </c>
      <c r="C79" s="65" t="s">
        <v>1638</v>
      </c>
      <c r="D79" t="s">
        <v>580</v>
      </c>
      <c r="E79" s="64">
        <v>1</v>
      </c>
      <c r="F79" s="64">
        <v>0</v>
      </c>
      <c r="G79" s="64">
        <v>1</v>
      </c>
      <c r="H79" s="64"/>
      <c r="I79" s="64"/>
      <c r="J79" s="64"/>
      <c r="K79" s="64"/>
    </row>
    <row r="80" spans="1:11">
      <c r="A80" s="65" t="s">
        <v>2028</v>
      </c>
      <c r="B80" s="65" t="s">
        <v>2106</v>
      </c>
      <c r="C80" s="65" t="s">
        <v>1638</v>
      </c>
      <c r="D80" t="s">
        <v>610</v>
      </c>
      <c r="E80" s="64">
        <v>0</v>
      </c>
      <c r="F80" s="64">
        <v>0</v>
      </c>
      <c r="G80" s="64">
        <v>1</v>
      </c>
      <c r="H80" s="64"/>
      <c r="I80" s="64"/>
      <c r="J80" s="64"/>
      <c r="K80" s="64"/>
    </row>
    <row r="81" spans="1:11">
      <c r="A81" s="65" t="s">
        <v>2028</v>
      </c>
      <c r="B81" s="65" t="s">
        <v>2106</v>
      </c>
      <c r="C81" s="65" t="s">
        <v>1638</v>
      </c>
      <c r="D81" t="s">
        <v>2083</v>
      </c>
      <c r="E81" s="64"/>
      <c r="F81" s="64"/>
      <c r="G81" s="64"/>
      <c r="H81" s="64"/>
      <c r="I81" s="64"/>
      <c r="J81" s="64"/>
      <c r="K81" s="64"/>
    </row>
    <row r="82" spans="1:11">
      <c r="A82" s="65" t="s">
        <v>2028</v>
      </c>
      <c r="B82" s="65" t="s">
        <v>2106</v>
      </c>
      <c r="C82" s="65" t="s">
        <v>1638</v>
      </c>
      <c r="D82" t="s">
        <v>1653</v>
      </c>
      <c r="E82" s="64"/>
      <c r="F82" s="64"/>
      <c r="G82" s="64"/>
      <c r="H82" s="64"/>
      <c r="I82" s="64"/>
      <c r="J82" s="64"/>
      <c r="K82" s="64"/>
    </row>
    <row r="83" spans="1:11">
      <c r="A83" s="65" t="s">
        <v>2028</v>
      </c>
      <c r="B83" s="65" t="s">
        <v>2106</v>
      </c>
      <c r="C83" s="65" t="s">
        <v>1638</v>
      </c>
      <c r="D83" t="s">
        <v>599</v>
      </c>
      <c r="E83" s="64"/>
      <c r="F83" s="64"/>
      <c r="G83" s="64"/>
      <c r="H83" s="64"/>
      <c r="I83" s="64"/>
      <c r="J83" s="64"/>
      <c r="K83" s="64"/>
    </row>
    <row r="84" spans="1:11">
      <c r="A84" s="65" t="s">
        <v>2028</v>
      </c>
      <c r="B84" s="65" t="s">
        <v>2106</v>
      </c>
      <c r="C84" s="65" t="s">
        <v>1638</v>
      </c>
      <c r="D84" t="s">
        <v>597</v>
      </c>
      <c r="E84" s="64"/>
      <c r="F84" s="64"/>
      <c r="G84" s="64"/>
      <c r="H84" s="64"/>
      <c r="I84" s="64"/>
      <c r="J84" s="64"/>
      <c r="K84" s="64"/>
    </row>
    <row r="85" spans="1:11">
      <c r="A85" s="65" t="s">
        <v>2028</v>
      </c>
      <c r="B85" s="65" t="s">
        <v>2106</v>
      </c>
      <c r="C85" s="65" t="s">
        <v>1638</v>
      </c>
      <c r="D85" t="s">
        <v>1645</v>
      </c>
      <c r="E85" s="64"/>
      <c r="F85" s="64"/>
      <c r="G85" s="64"/>
      <c r="H85" s="64"/>
      <c r="I85" s="64"/>
      <c r="J85" s="64"/>
      <c r="K85" s="64"/>
    </row>
    <row r="86" spans="1:11">
      <c r="A86" s="65" t="s">
        <v>2028</v>
      </c>
      <c r="B86" s="65" t="s">
        <v>2106</v>
      </c>
      <c r="C86" s="65" t="s">
        <v>1638</v>
      </c>
      <c r="D86" t="s">
        <v>1654</v>
      </c>
      <c r="E86" s="64"/>
      <c r="F86" s="64"/>
      <c r="G86" s="64"/>
      <c r="H86" s="64"/>
      <c r="I86" s="64"/>
      <c r="J86" s="64"/>
      <c r="K86" s="64"/>
    </row>
    <row r="87" spans="1:11">
      <c r="A87" s="65" t="s">
        <v>2028</v>
      </c>
      <c r="B87" s="65" t="s">
        <v>2106</v>
      </c>
      <c r="C87" s="65" t="s">
        <v>1638</v>
      </c>
      <c r="D87" t="s">
        <v>1655</v>
      </c>
      <c r="E87" s="64"/>
      <c r="F87" s="64"/>
      <c r="G87" s="64"/>
      <c r="H87" s="64"/>
      <c r="I87" s="64"/>
      <c r="J87" s="64"/>
      <c r="K87" s="64"/>
    </row>
    <row r="88" spans="1:11">
      <c r="A88" s="65" t="s">
        <v>2028</v>
      </c>
      <c r="B88" s="65" t="s">
        <v>2106</v>
      </c>
      <c r="C88" s="65" t="s">
        <v>1638</v>
      </c>
      <c r="D88" t="s">
        <v>590</v>
      </c>
      <c r="E88" s="64">
        <v>1</v>
      </c>
      <c r="F88" s="64">
        <v>1</v>
      </c>
      <c r="G88" s="64">
        <v>1</v>
      </c>
      <c r="H88" s="64"/>
      <c r="I88" s="64"/>
      <c r="J88" s="64"/>
      <c r="K88" s="64"/>
    </row>
    <row r="89" spans="1:11">
      <c r="A89" s="65" t="s">
        <v>2028</v>
      </c>
      <c r="B89" s="65" t="s">
        <v>2106</v>
      </c>
      <c r="C89" s="65" t="s">
        <v>1638</v>
      </c>
      <c r="D89" t="s">
        <v>577</v>
      </c>
      <c r="E89" s="64">
        <v>1</v>
      </c>
      <c r="F89" s="64">
        <v>1</v>
      </c>
      <c r="G89" s="64">
        <v>1</v>
      </c>
      <c r="H89" s="64"/>
      <c r="I89" s="64"/>
      <c r="J89" s="64"/>
      <c r="K89" s="64"/>
    </row>
    <row r="90" spans="1:11">
      <c r="A90" s="65" t="s">
        <v>2028</v>
      </c>
      <c r="B90" s="65" t="s">
        <v>2106</v>
      </c>
      <c r="C90" s="65" t="s">
        <v>1638</v>
      </c>
      <c r="D90" t="s">
        <v>1658</v>
      </c>
      <c r="E90" s="64"/>
      <c r="F90" s="64"/>
      <c r="G90" s="64"/>
      <c r="H90" s="64"/>
      <c r="I90" s="64"/>
      <c r="J90" s="64"/>
      <c r="K90" s="64"/>
    </row>
    <row r="91" spans="1:11">
      <c r="A91" s="65" t="s">
        <v>2028</v>
      </c>
      <c r="B91" s="65" t="s">
        <v>2106</v>
      </c>
      <c r="C91" s="65" t="s">
        <v>1638</v>
      </c>
      <c r="D91" t="s">
        <v>578</v>
      </c>
      <c r="E91" s="64">
        <v>1</v>
      </c>
      <c r="F91" s="64">
        <v>0</v>
      </c>
      <c r="G91" s="64">
        <v>1</v>
      </c>
      <c r="H91" s="64"/>
      <c r="I91" s="64"/>
      <c r="J91" s="64"/>
      <c r="K91" s="64"/>
    </row>
    <row r="92" spans="1:11">
      <c r="A92" s="65" t="s">
        <v>2028</v>
      </c>
      <c r="B92" s="65" t="s">
        <v>2106</v>
      </c>
      <c r="C92" s="65" t="s">
        <v>1638</v>
      </c>
      <c r="D92" t="s">
        <v>581</v>
      </c>
      <c r="E92" s="64">
        <v>1</v>
      </c>
      <c r="F92" s="64">
        <v>1</v>
      </c>
      <c r="G92" s="64">
        <v>1</v>
      </c>
      <c r="H92" s="64"/>
      <c r="I92" s="64"/>
      <c r="J92" s="64"/>
      <c r="K92" s="64"/>
    </row>
    <row r="93" spans="1:11">
      <c r="A93" s="65" t="s">
        <v>2028</v>
      </c>
      <c r="B93" s="65" t="s">
        <v>2106</v>
      </c>
      <c r="C93" s="65" t="s">
        <v>1638</v>
      </c>
      <c r="D93" t="s">
        <v>591</v>
      </c>
      <c r="E93" s="64"/>
      <c r="F93" s="64"/>
      <c r="G93" s="64"/>
      <c r="H93" s="64"/>
      <c r="I93" s="64"/>
      <c r="J93" s="64"/>
      <c r="K93" s="64"/>
    </row>
    <row r="94" spans="1:11">
      <c r="A94" s="64" t="s">
        <v>2029</v>
      </c>
      <c r="B94" s="64" t="s">
        <v>2108</v>
      </c>
      <c r="C94" s="64" t="s">
        <v>1443</v>
      </c>
      <c r="D94" t="s">
        <v>1712</v>
      </c>
      <c r="E94" s="64">
        <v>0</v>
      </c>
      <c r="F94" s="64">
        <v>1</v>
      </c>
      <c r="G94" s="64">
        <v>0</v>
      </c>
      <c r="H94" s="64">
        <v>0</v>
      </c>
      <c r="I94" s="64">
        <v>1</v>
      </c>
      <c r="J94" s="64">
        <v>1</v>
      </c>
      <c r="K94" s="64"/>
    </row>
    <row r="95" spans="1:11">
      <c r="A95" s="65" t="s">
        <v>202</v>
      </c>
      <c r="B95" s="64" t="s">
        <v>2108</v>
      </c>
      <c r="C95" s="64" t="s">
        <v>1443</v>
      </c>
      <c r="D95" t="s">
        <v>2222</v>
      </c>
    </row>
    <row r="96" spans="1:11">
      <c r="A96" s="65" t="s">
        <v>202</v>
      </c>
      <c r="B96" s="64" t="s">
        <v>2108</v>
      </c>
      <c r="C96" s="64" t="s">
        <v>1443</v>
      </c>
      <c r="D96" t="s">
        <v>1675</v>
      </c>
    </row>
    <row r="97" spans="1:11">
      <c r="A97" s="64" t="s">
        <v>2029</v>
      </c>
      <c r="B97" s="64" t="s">
        <v>2108</v>
      </c>
      <c r="C97" s="64" t="s">
        <v>1443</v>
      </c>
      <c r="D97" t="s">
        <v>2033</v>
      </c>
      <c r="E97" s="64"/>
      <c r="F97" s="64"/>
      <c r="G97" s="64"/>
      <c r="H97" s="64"/>
      <c r="I97" s="64"/>
      <c r="J97" s="64"/>
      <c r="K97" s="64"/>
    </row>
    <row r="98" spans="1:11">
      <c r="A98" s="64" t="s">
        <v>2029</v>
      </c>
      <c r="B98" s="64" t="s">
        <v>2108</v>
      </c>
      <c r="C98" s="74" t="s">
        <v>1443</v>
      </c>
      <c r="D98" t="s">
        <v>2174</v>
      </c>
      <c r="E98" s="64"/>
      <c r="F98" s="64"/>
      <c r="G98" s="64"/>
      <c r="H98" s="64"/>
      <c r="I98" s="64"/>
      <c r="J98" s="64"/>
      <c r="K98" s="64"/>
    </row>
    <row r="99" spans="1:11">
      <c r="A99" s="64" t="s">
        <v>2029</v>
      </c>
      <c r="B99" s="64" t="s">
        <v>2108</v>
      </c>
      <c r="C99" s="64" t="s">
        <v>1443</v>
      </c>
      <c r="D99" t="s">
        <v>1469</v>
      </c>
      <c r="E99" s="64"/>
      <c r="F99" s="64"/>
      <c r="G99" s="64"/>
      <c r="H99" s="64">
        <v>1</v>
      </c>
      <c r="I99" s="65">
        <v>0</v>
      </c>
      <c r="J99" s="65">
        <v>1</v>
      </c>
      <c r="K99" s="64"/>
    </row>
    <row r="100" spans="1:11">
      <c r="A100" s="64" t="s">
        <v>2029</v>
      </c>
      <c r="B100" s="64" t="s">
        <v>2108</v>
      </c>
      <c r="C100" s="75" t="s">
        <v>1443</v>
      </c>
      <c r="D100" t="s">
        <v>656</v>
      </c>
      <c r="E100" s="64">
        <v>1</v>
      </c>
      <c r="F100" s="64">
        <v>0</v>
      </c>
      <c r="G100" s="64">
        <v>0</v>
      </c>
      <c r="H100" s="64"/>
      <c r="I100" s="64"/>
      <c r="J100" s="64"/>
      <c r="K100" s="64"/>
    </row>
    <row r="101" spans="1:11">
      <c r="A101" s="64" t="s">
        <v>2029</v>
      </c>
      <c r="B101" s="64" t="s">
        <v>2108</v>
      </c>
      <c r="C101" s="64" t="s">
        <v>1443</v>
      </c>
      <c r="D101" t="s">
        <v>1695</v>
      </c>
      <c r="E101" s="64"/>
      <c r="F101" s="64"/>
      <c r="G101" s="64"/>
      <c r="H101" s="64"/>
      <c r="I101" s="64"/>
      <c r="J101" s="64"/>
      <c r="K101" s="64"/>
    </row>
    <row r="102" spans="1:11">
      <c r="A102" s="64" t="s">
        <v>2029</v>
      </c>
      <c r="B102" s="64" t="s">
        <v>2108</v>
      </c>
      <c r="C102" s="74" t="s">
        <v>1443</v>
      </c>
      <c r="D102" t="s">
        <v>2172</v>
      </c>
      <c r="E102" s="64"/>
      <c r="F102" s="64"/>
      <c r="G102" s="64"/>
      <c r="H102" s="64"/>
      <c r="I102" s="64"/>
      <c r="J102" s="64"/>
      <c r="K102" s="64"/>
    </row>
    <row r="103" spans="1:11">
      <c r="A103" s="64" t="s">
        <v>2029</v>
      </c>
      <c r="B103" s="64" t="s">
        <v>2108</v>
      </c>
      <c r="C103" s="64" t="s">
        <v>1443</v>
      </c>
      <c r="D103" t="s">
        <v>1703</v>
      </c>
      <c r="E103" s="64"/>
      <c r="F103" s="64"/>
      <c r="G103" s="64"/>
      <c r="H103" s="64">
        <v>1</v>
      </c>
      <c r="I103" s="64">
        <v>1</v>
      </c>
      <c r="J103" s="64">
        <v>0</v>
      </c>
      <c r="K103" s="64"/>
    </row>
    <row r="104" spans="1:11">
      <c r="A104" s="64" t="s">
        <v>2029</v>
      </c>
      <c r="B104" s="64" t="s">
        <v>2108</v>
      </c>
      <c r="C104" s="64" t="s">
        <v>1443</v>
      </c>
      <c r="D104" t="s">
        <v>675</v>
      </c>
      <c r="E104" s="64"/>
      <c r="F104" s="64"/>
      <c r="G104" s="64"/>
      <c r="H104" s="64"/>
      <c r="I104" s="64"/>
      <c r="J104" s="64"/>
      <c r="K104" s="64"/>
    </row>
    <row r="105" spans="1:11">
      <c r="A105" s="64" t="s">
        <v>2029</v>
      </c>
      <c r="B105" s="64" t="s">
        <v>2108</v>
      </c>
      <c r="C105" s="64" t="s">
        <v>1443</v>
      </c>
      <c r="D105" t="s">
        <v>1711</v>
      </c>
      <c r="E105" s="64"/>
      <c r="F105" s="64"/>
      <c r="G105" s="64"/>
      <c r="H105" s="64"/>
      <c r="I105" s="64"/>
      <c r="J105" s="64"/>
      <c r="K105" s="64"/>
    </row>
    <row r="106" spans="1:11">
      <c r="A106" s="64" t="s">
        <v>2029</v>
      </c>
      <c r="B106" s="64" t="s">
        <v>2108</v>
      </c>
      <c r="C106" s="74" t="s">
        <v>1443</v>
      </c>
      <c r="D106" t="s">
        <v>2171</v>
      </c>
      <c r="E106" s="64"/>
      <c r="F106" s="64"/>
      <c r="G106" s="64"/>
      <c r="H106" s="64"/>
      <c r="I106" s="64"/>
      <c r="J106" s="64"/>
      <c r="K106" s="64"/>
    </row>
    <row r="107" spans="1:11">
      <c r="A107" s="65" t="s">
        <v>202</v>
      </c>
      <c r="B107" s="64" t="s">
        <v>2108</v>
      </c>
      <c r="C107" s="64" t="s">
        <v>1443</v>
      </c>
      <c r="D107" t="s">
        <v>2040</v>
      </c>
    </row>
    <row r="108" spans="1:11">
      <c r="A108" s="64" t="s">
        <v>2029</v>
      </c>
      <c r="B108" s="64" t="s">
        <v>2108</v>
      </c>
      <c r="C108" s="74" t="s">
        <v>1443</v>
      </c>
      <c r="D108" t="s">
        <v>538</v>
      </c>
      <c r="E108" s="64">
        <v>1</v>
      </c>
      <c r="F108" s="64">
        <v>0</v>
      </c>
      <c r="G108" s="64">
        <v>0</v>
      </c>
      <c r="H108" s="64">
        <v>1</v>
      </c>
      <c r="I108" s="64">
        <v>0</v>
      </c>
      <c r="J108" s="64">
        <v>1</v>
      </c>
      <c r="K108" s="64"/>
    </row>
    <row r="109" spans="1:11">
      <c r="A109" s="64" t="s">
        <v>2029</v>
      </c>
      <c r="B109" s="64" t="s">
        <v>2108</v>
      </c>
      <c r="C109" s="74" t="s">
        <v>1443</v>
      </c>
      <c r="D109" t="s">
        <v>566</v>
      </c>
      <c r="E109" s="64">
        <v>0</v>
      </c>
      <c r="F109" s="64">
        <v>0</v>
      </c>
      <c r="G109" s="64">
        <v>1</v>
      </c>
      <c r="H109" s="64">
        <v>0</v>
      </c>
      <c r="I109" s="64">
        <v>1</v>
      </c>
      <c r="J109" s="64">
        <v>0</v>
      </c>
      <c r="K109" s="64"/>
    </row>
    <row r="110" spans="1:11">
      <c r="A110" s="64" t="s">
        <v>2029</v>
      </c>
      <c r="B110" s="64" t="s">
        <v>2108</v>
      </c>
      <c r="C110" s="64" t="s">
        <v>1443</v>
      </c>
      <c r="D110" t="s">
        <v>535</v>
      </c>
      <c r="E110" s="64"/>
      <c r="F110" s="64"/>
      <c r="G110" s="64"/>
      <c r="H110" s="64"/>
      <c r="I110" s="64"/>
      <c r="J110" s="64"/>
      <c r="K110" s="64"/>
    </row>
    <row r="111" spans="1:11">
      <c r="A111" s="64" t="s">
        <v>2029</v>
      </c>
      <c r="B111" s="64" t="s">
        <v>2108</v>
      </c>
      <c r="C111" s="74" t="s">
        <v>1443</v>
      </c>
      <c r="D111" t="s">
        <v>504</v>
      </c>
      <c r="E111" s="64">
        <v>1</v>
      </c>
      <c r="F111" s="64">
        <v>1</v>
      </c>
      <c r="G111" s="64">
        <v>1</v>
      </c>
      <c r="H111" s="64">
        <v>1</v>
      </c>
      <c r="I111" s="64">
        <v>0</v>
      </c>
      <c r="J111" s="64">
        <v>1</v>
      </c>
      <c r="K111" s="64"/>
    </row>
    <row r="112" spans="1:11">
      <c r="A112" s="64" t="s">
        <v>2029</v>
      </c>
      <c r="B112" s="64" t="s">
        <v>2108</v>
      </c>
      <c r="C112" s="74" t="s">
        <v>1443</v>
      </c>
      <c r="D112" t="s">
        <v>2175</v>
      </c>
      <c r="E112" s="64"/>
      <c r="F112" s="64"/>
      <c r="G112" s="64"/>
      <c r="H112" s="64"/>
      <c r="I112" s="64"/>
      <c r="J112" s="64"/>
      <c r="K112" s="64"/>
    </row>
    <row r="113" spans="1:11">
      <c r="A113" s="64" t="s">
        <v>2029</v>
      </c>
      <c r="B113" s="64" t="s">
        <v>2108</v>
      </c>
      <c r="C113" s="64" t="s">
        <v>1443</v>
      </c>
      <c r="D113" t="s">
        <v>1704</v>
      </c>
      <c r="E113" s="64"/>
      <c r="F113" s="64"/>
      <c r="G113" s="64"/>
      <c r="H113" s="64"/>
      <c r="I113" s="64"/>
      <c r="J113" s="64"/>
      <c r="K113" s="64"/>
    </row>
    <row r="114" spans="1:11">
      <c r="A114" s="64" t="s">
        <v>2029</v>
      </c>
      <c r="B114" s="64" t="s">
        <v>2108</v>
      </c>
      <c r="C114" s="64" t="s">
        <v>1443</v>
      </c>
      <c r="D114" t="s">
        <v>1487</v>
      </c>
      <c r="E114" s="64"/>
      <c r="F114" s="64"/>
      <c r="G114" s="64"/>
      <c r="H114" s="64"/>
      <c r="I114" s="64"/>
      <c r="J114" s="64"/>
      <c r="K114" s="64"/>
    </row>
    <row r="115" spans="1:11">
      <c r="A115" s="64" t="s">
        <v>2029</v>
      </c>
      <c r="B115" s="64" t="s">
        <v>2108</v>
      </c>
      <c r="C115" s="64" t="s">
        <v>1443</v>
      </c>
      <c r="D115" t="s">
        <v>1699</v>
      </c>
      <c r="E115" s="64"/>
      <c r="F115" s="64"/>
      <c r="G115" s="64"/>
      <c r="H115" s="64">
        <v>1</v>
      </c>
      <c r="I115" s="64">
        <v>1</v>
      </c>
      <c r="J115" s="64">
        <v>0</v>
      </c>
      <c r="K115" s="64"/>
    </row>
    <row r="116" spans="1:11">
      <c r="A116" s="65" t="s">
        <v>202</v>
      </c>
      <c r="B116" s="64" t="s">
        <v>2108</v>
      </c>
      <c r="C116" s="64" t="s">
        <v>1443</v>
      </c>
      <c r="D116" t="s">
        <v>2218</v>
      </c>
    </row>
    <row r="117" spans="1:11">
      <c r="A117" s="64" t="s">
        <v>2029</v>
      </c>
      <c r="B117" s="64" t="s">
        <v>2108</v>
      </c>
      <c r="C117" s="64" t="s">
        <v>1443</v>
      </c>
      <c r="D117" t="s">
        <v>1692</v>
      </c>
      <c r="E117" s="64"/>
      <c r="F117" s="64"/>
      <c r="G117" s="64"/>
      <c r="H117" s="64"/>
      <c r="I117" s="64"/>
      <c r="J117" s="64"/>
      <c r="K117" s="64"/>
    </row>
    <row r="118" spans="1:11">
      <c r="A118" s="64" t="s">
        <v>2029</v>
      </c>
      <c r="B118" s="64" t="s">
        <v>2108</v>
      </c>
      <c r="C118" s="64" t="s">
        <v>1443</v>
      </c>
      <c r="D118" t="s">
        <v>1470</v>
      </c>
      <c r="E118" s="64"/>
      <c r="F118" s="64"/>
      <c r="G118" s="64"/>
      <c r="H118" s="64"/>
      <c r="I118" s="64"/>
      <c r="J118" s="64"/>
      <c r="K118" s="64"/>
    </row>
    <row r="119" spans="1:11">
      <c r="A119" s="64" t="s">
        <v>2029</v>
      </c>
      <c r="B119" s="64" t="s">
        <v>2108</v>
      </c>
      <c r="C119" s="74" t="s">
        <v>1443</v>
      </c>
      <c r="D119" t="s">
        <v>528</v>
      </c>
      <c r="E119" s="64">
        <v>1</v>
      </c>
      <c r="F119" s="64">
        <v>0</v>
      </c>
      <c r="G119" s="64">
        <v>0</v>
      </c>
      <c r="H119" s="64"/>
      <c r="I119" s="64"/>
      <c r="J119" s="64"/>
      <c r="K119" s="64"/>
    </row>
    <row r="120" spans="1:11">
      <c r="A120" s="65" t="s">
        <v>202</v>
      </c>
      <c r="B120" s="64" t="s">
        <v>2108</v>
      </c>
      <c r="C120" s="64" t="s">
        <v>1443</v>
      </c>
      <c r="D120" t="s">
        <v>2219</v>
      </c>
    </row>
    <row r="121" spans="1:11">
      <c r="A121" s="64" t="s">
        <v>2029</v>
      </c>
      <c r="B121" s="64" t="s">
        <v>2108</v>
      </c>
      <c r="C121" s="64" t="s">
        <v>1443</v>
      </c>
      <c r="D121" t="s">
        <v>1705</v>
      </c>
      <c r="E121" s="64"/>
      <c r="F121" s="64"/>
      <c r="G121" s="64"/>
      <c r="H121" s="64"/>
      <c r="I121" s="64"/>
      <c r="J121" s="64"/>
      <c r="K121" s="64"/>
    </row>
    <row r="122" spans="1:11">
      <c r="A122" s="64" t="s">
        <v>2029</v>
      </c>
      <c r="B122" s="64" t="s">
        <v>2108</v>
      </c>
      <c r="C122" s="64" t="s">
        <v>1443</v>
      </c>
      <c r="D122" t="s">
        <v>1714</v>
      </c>
      <c r="E122" s="64"/>
      <c r="F122" s="64"/>
      <c r="G122" s="64"/>
      <c r="H122" s="64"/>
      <c r="I122" s="64"/>
      <c r="J122" s="64"/>
      <c r="K122" s="64"/>
    </row>
    <row r="123" spans="1:11">
      <c r="A123" s="64" t="s">
        <v>2029</v>
      </c>
      <c r="B123" s="64" t="s">
        <v>2108</v>
      </c>
      <c r="C123" s="74" t="s">
        <v>1443</v>
      </c>
      <c r="D123" t="s">
        <v>559</v>
      </c>
      <c r="E123" s="64">
        <v>0</v>
      </c>
      <c r="F123" s="64">
        <v>1</v>
      </c>
      <c r="G123" s="64">
        <v>1</v>
      </c>
      <c r="H123" s="64">
        <v>1</v>
      </c>
      <c r="I123" s="65">
        <v>1</v>
      </c>
      <c r="J123" s="65">
        <v>1</v>
      </c>
      <c r="K123" s="64"/>
    </row>
    <row r="124" spans="1:11">
      <c r="A124" s="64" t="s">
        <v>2029</v>
      </c>
      <c r="B124" s="64" t="s">
        <v>2108</v>
      </c>
      <c r="C124" s="74" t="s">
        <v>1443</v>
      </c>
      <c r="D124" t="s">
        <v>534</v>
      </c>
      <c r="E124" s="64">
        <v>0</v>
      </c>
      <c r="F124" s="64">
        <v>0</v>
      </c>
      <c r="G124" s="64">
        <v>1</v>
      </c>
      <c r="H124" s="64"/>
      <c r="I124" s="64"/>
      <c r="J124" s="64"/>
      <c r="K124" s="64"/>
    </row>
    <row r="125" spans="1:11">
      <c r="A125" s="64" t="s">
        <v>2029</v>
      </c>
      <c r="B125" s="64" t="s">
        <v>2108</v>
      </c>
      <c r="C125" s="64" t="s">
        <v>1443</v>
      </c>
      <c r="D125" t="s">
        <v>894</v>
      </c>
      <c r="E125" s="64"/>
      <c r="F125" s="64"/>
      <c r="G125" s="64"/>
      <c r="H125" s="64"/>
      <c r="I125" s="64"/>
      <c r="J125" s="64"/>
      <c r="K125" s="64"/>
    </row>
    <row r="126" spans="1:11">
      <c r="A126" s="64" t="s">
        <v>2029</v>
      </c>
      <c r="B126" s="64" t="s">
        <v>2108</v>
      </c>
      <c r="C126" s="64" t="s">
        <v>1443</v>
      </c>
      <c r="D126" t="s">
        <v>1697</v>
      </c>
      <c r="E126" s="64"/>
      <c r="F126" s="64"/>
      <c r="G126" s="64"/>
      <c r="H126" s="64"/>
      <c r="I126" s="64"/>
      <c r="J126" s="64"/>
      <c r="K126" s="64"/>
    </row>
    <row r="127" spans="1:11">
      <c r="A127" s="64" t="s">
        <v>2029</v>
      </c>
      <c r="B127" s="64" t="s">
        <v>2108</v>
      </c>
      <c r="C127" s="64" t="s">
        <v>1443</v>
      </c>
      <c r="D127" t="s">
        <v>527</v>
      </c>
      <c r="E127" s="64"/>
      <c r="F127" s="64"/>
      <c r="G127" s="64"/>
      <c r="H127" s="64"/>
      <c r="I127" s="64"/>
      <c r="J127" s="64"/>
      <c r="K127" s="64"/>
    </row>
    <row r="128" spans="1:11">
      <c r="A128" s="64" t="s">
        <v>2029</v>
      </c>
      <c r="B128" s="64" t="s">
        <v>2108</v>
      </c>
      <c r="C128" s="64" t="s">
        <v>1443</v>
      </c>
      <c r="D128" t="s">
        <v>1701</v>
      </c>
      <c r="E128" s="64"/>
      <c r="F128" s="64"/>
      <c r="G128" s="64"/>
      <c r="H128" s="64">
        <v>1</v>
      </c>
      <c r="I128" s="64">
        <v>0</v>
      </c>
      <c r="J128" s="64">
        <v>1</v>
      </c>
      <c r="K128" s="64"/>
    </row>
    <row r="129" spans="1:11">
      <c r="A129" s="64" t="s">
        <v>2029</v>
      </c>
      <c r="B129" s="64" t="s">
        <v>2108</v>
      </c>
      <c r="C129" s="64" t="s">
        <v>1443</v>
      </c>
      <c r="D129" t="s">
        <v>1702</v>
      </c>
      <c r="E129" s="64"/>
      <c r="F129" s="64"/>
      <c r="G129" s="64"/>
      <c r="H129" s="64">
        <v>0</v>
      </c>
      <c r="I129" s="64">
        <v>1</v>
      </c>
      <c r="J129" s="64">
        <v>1</v>
      </c>
      <c r="K129" s="64"/>
    </row>
    <row r="130" spans="1:11">
      <c r="A130" s="64" t="s">
        <v>2029</v>
      </c>
      <c r="B130" s="64" t="s">
        <v>2108</v>
      </c>
      <c r="C130" s="64" t="s">
        <v>1443</v>
      </c>
      <c r="D130" t="s">
        <v>1700</v>
      </c>
      <c r="E130" s="64"/>
      <c r="F130" s="64"/>
      <c r="G130" s="64"/>
      <c r="H130" s="64">
        <v>0</v>
      </c>
      <c r="I130" s="64">
        <v>1</v>
      </c>
      <c r="J130" s="64">
        <v>0</v>
      </c>
      <c r="K130" s="64"/>
    </row>
    <row r="131" spans="1:11">
      <c r="A131" s="65" t="s">
        <v>202</v>
      </c>
      <c r="B131" s="64" t="s">
        <v>2108</v>
      </c>
      <c r="C131" s="64" t="s">
        <v>1443</v>
      </c>
      <c r="D131" t="s">
        <v>2221</v>
      </c>
    </row>
    <row r="132" spans="1:11">
      <c r="A132" s="64" t="s">
        <v>2029</v>
      </c>
      <c r="B132" s="64" t="s">
        <v>2108</v>
      </c>
      <c r="C132" s="64" t="s">
        <v>1443</v>
      </c>
      <c r="D132" t="s">
        <v>1698</v>
      </c>
      <c r="E132" s="64"/>
      <c r="F132" s="64"/>
      <c r="G132" s="64"/>
      <c r="H132" s="64">
        <v>1</v>
      </c>
      <c r="I132" s="64">
        <v>0</v>
      </c>
      <c r="J132" s="64">
        <v>0</v>
      </c>
      <c r="K132" s="64"/>
    </row>
    <row r="133" spans="1:11">
      <c r="A133" s="64" t="s">
        <v>2029</v>
      </c>
      <c r="B133" s="64" t="s">
        <v>2108</v>
      </c>
      <c r="C133" s="64" t="s">
        <v>1443</v>
      </c>
      <c r="D133" t="s">
        <v>1696</v>
      </c>
      <c r="E133" s="64"/>
      <c r="F133" s="64"/>
      <c r="G133" s="64"/>
      <c r="H133" s="64"/>
      <c r="I133" s="64"/>
      <c r="J133" s="64"/>
      <c r="K133" s="64"/>
    </row>
    <row r="134" spans="1:11">
      <c r="A134" s="64" t="s">
        <v>2029</v>
      </c>
      <c r="B134" s="64" t="s">
        <v>2108</v>
      </c>
      <c r="C134" s="64" t="s">
        <v>1443</v>
      </c>
      <c r="D134" t="s">
        <v>529</v>
      </c>
      <c r="E134" s="64"/>
      <c r="F134" s="64"/>
      <c r="G134" s="64"/>
      <c r="H134" s="64">
        <v>1</v>
      </c>
      <c r="I134" s="67">
        <v>1</v>
      </c>
      <c r="J134" s="67">
        <v>1</v>
      </c>
      <c r="K134" s="64"/>
    </row>
    <row r="135" spans="1:11">
      <c r="A135" s="64" t="s">
        <v>2029</v>
      </c>
      <c r="B135" s="64" t="s">
        <v>2108</v>
      </c>
      <c r="C135" s="74" t="s">
        <v>1443</v>
      </c>
      <c r="D135" t="s">
        <v>2177</v>
      </c>
      <c r="E135" s="64"/>
      <c r="F135" s="64"/>
      <c r="G135" s="64"/>
      <c r="H135" s="64"/>
      <c r="I135" s="64"/>
      <c r="J135" s="64"/>
      <c r="K135" s="64"/>
    </row>
    <row r="136" spans="1:11">
      <c r="A136" s="64" t="s">
        <v>2029</v>
      </c>
      <c r="B136" s="64" t="s">
        <v>2108</v>
      </c>
      <c r="C136" s="64" t="s">
        <v>1443</v>
      </c>
      <c r="D136" t="s">
        <v>1709</v>
      </c>
      <c r="E136" s="64"/>
      <c r="F136" s="64"/>
      <c r="G136" s="64"/>
      <c r="H136" s="64"/>
      <c r="I136" s="64"/>
      <c r="J136" s="64"/>
      <c r="K136" s="64"/>
    </row>
    <row r="137" spans="1:11">
      <c r="A137" s="64" t="s">
        <v>2029</v>
      </c>
      <c r="B137" s="64" t="s">
        <v>2108</v>
      </c>
      <c r="C137" s="64" t="s">
        <v>1443</v>
      </c>
      <c r="D137" t="s">
        <v>1706</v>
      </c>
      <c r="E137" s="64"/>
      <c r="F137" s="64"/>
      <c r="G137" s="64"/>
      <c r="H137" s="64">
        <v>0</v>
      </c>
      <c r="I137" s="64">
        <v>1</v>
      </c>
      <c r="J137" s="64">
        <v>1</v>
      </c>
      <c r="K137" s="64"/>
    </row>
    <row r="138" spans="1:11">
      <c r="A138" s="64" t="s">
        <v>2029</v>
      </c>
      <c r="B138" s="64" t="s">
        <v>2108</v>
      </c>
      <c r="C138" s="74" t="s">
        <v>1443</v>
      </c>
      <c r="D138" t="s">
        <v>2173</v>
      </c>
      <c r="E138" s="64"/>
      <c r="F138" s="64"/>
      <c r="G138" s="64"/>
      <c r="H138" s="64"/>
      <c r="I138" s="64"/>
      <c r="J138" s="64"/>
      <c r="K138" s="64"/>
    </row>
    <row r="139" spans="1:11">
      <c r="A139" s="64" t="s">
        <v>2029</v>
      </c>
      <c r="B139" s="64" t="s">
        <v>2108</v>
      </c>
      <c r="C139" s="64" t="s">
        <v>1443</v>
      </c>
      <c r="D139" t="s">
        <v>1694</v>
      </c>
      <c r="E139" s="64"/>
      <c r="F139" s="64"/>
      <c r="G139" s="64"/>
      <c r="H139" s="64">
        <v>1</v>
      </c>
      <c r="I139" s="64">
        <v>0</v>
      </c>
      <c r="J139" s="64">
        <v>0</v>
      </c>
      <c r="K139" s="64"/>
    </row>
    <row r="140" spans="1:11">
      <c r="A140" s="64" t="s">
        <v>2029</v>
      </c>
      <c r="B140" s="64" t="s">
        <v>2108</v>
      </c>
      <c r="C140" s="64" t="s">
        <v>1443</v>
      </c>
      <c r="D140" t="s">
        <v>1693</v>
      </c>
      <c r="E140" s="64"/>
      <c r="F140" s="64"/>
      <c r="G140" s="64"/>
      <c r="H140" s="64"/>
      <c r="I140" s="64"/>
      <c r="J140" s="64"/>
      <c r="K140" s="64"/>
    </row>
    <row r="141" spans="1:11">
      <c r="A141" s="64" t="s">
        <v>2029</v>
      </c>
      <c r="B141" s="64" t="s">
        <v>2108</v>
      </c>
      <c r="C141" s="64" t="s">
        <v>1443</v>
      </c>
      <c r="D141" t="s">
        <v>570</v>
      </c>
      <c r="E141" s="64"/>
      <c r="F141" s="64"/>
      <c r="G141" s="64"/>
      <c r="H141" s="64">
        <v>1</v>
      </c>
      <c r="I141" s="64">
        <v>0</v>
      </c>
      <c r="J141" s="64">
        <v>0</v>
      </c>
      <c r="K141" s="64"/>
    </row>
    <row r="142" spans="1:11">
      <c r="A142" s="64" t="s">
        <v>2029</v>
      </c>
      <c r="B142" s="64" t="s">
        <v>2108</v>
      </c>
      <c r="C142" s="74" t="s">
        <v>1443</v>
      </c>
      <c r="D142" t="s">
        <v>2176</v>
      </c>
      <c r="E142" s="64"/>
      <c r="F142" s="64"/>
      <c r="G142" s="64"/>
      <c r="H142" s="64"/>
      <c r="I142" s="64"/>
      <c r="J142" s="64"/>
      <c r="K142" s="64"/>
    </row>
    <row r="143" spans="1:11">
      <c r="A143" s="65" t="s">
        <v>202</v>
      </c>
      <c r="B143" s="64" t="s">
        <v>2108</v>
      </c>
      <c r="C143" s="64" t="s">
        <v>1443</v>
      </c>
      <c r="D143" t="s">
        <v>2176</v>
      </c>
    </row>
    <row r="144" spans="1:11">
      <c r="A144" s="64" t="s">
        <v>2029</v>
      </c>
      <c r="B144" s="64" t="s">
        <v>2108</v>
      </c>
      <c r="C144" s="74" t="s">
        <v>1443</v>
      </c>
      <c r="D144" t="s">
        <v>499</v>
      </c>
      <c r="E144" s="64">
        <v>1</v>
      </c>
      <c r="F144" s="64">
        <v>0</v>
      </c>
      <c r="G144" s="64">
        <v>0</v>
      </c>
      <c r="H144" s="64"/>
      <c r="I144" s="64"/>
      <c r="J144" s="64"/>
      <c r="K144" s="64"/>
    </row>
    <row r="145" spans="1:11">
      <c r="A145" s="64" t="s">
        <v>2029</v>
      </c>
      <c r="B145" s="64" t="s">
        <v>2108</v>
      </c>
      <c r="C145" s="64" t="s">
        <v>1443</v>
      </c>
      <c r="D145" t="s">
        <v>1713</v>
      </c>
      <c r="E145" s="64"/>
      <c r="F145" s="64"/>
      <c r="G145" s="64"/>
      <c r="H145" s="64">
        <v>1</v>
      </c>
      <c r="I145" s="64">
        <v>0</v>
      </c>
      <c r="J145" s="64">
        <v>1</v>
      </c>
      <c r="K145" s="64"/>
    </row>
    <row r="146" spans="1:11">
      <c r="A146" s="65" t="s">
        <v>202</v>
      </c>
      <c r="B146" s="64" t="s">
        <v>2108</v>
      </c>
      <c r="C146" s="64" t="s">
        <v>1443</v>
      </c>
      <c r="D146" t="s">
        <v>1713</v>
      </c>
    </row>
    <row r="147" spans="1:11">
      <c r="A147" s="64" t="s">
        <v>2029</v>
      </c>
      <c r="B147" s="64" t="s">
        <v>2108</v>
      </c>
      <c r="C147" s="64" t="s">
        <v>1443</v>
      </c>
      <c r="D147" t="s">
        <v>2093</v>
      </c>
      <c r="E147" s="64"/>
      <c r="F147" s="64"/>
      <c r="G147" s="64"/>
      <c r="H147" s="64"/>
      <c r="I147" s="64"/>
      <c r="J147" s="64"/>
      <c r="K147" s="64"/>
    </row>
    <row r="148" spans="1:11">
      <c r="A148" s="64" t="s">
        <v>2029</v>
      </c>
      <c r="B148" s="64" t="s">
        <v>2108</v>
      </c>
      <c r="C148" s="64" t="s">
        <v>1443</v>
      </c>
      <c r="D148" t="s">
        <v>531</v>
      </c>
      <c r="E148" s="64"/>
      <c r="F148" s="64"/>
      <c r="G148" s="64"/>
      <c r="H148" s="64"/>
      <c r="I148" s="64"/>
      <c r="J148" s="64"/>
      <c r="K148" s="64"/>
    </row>
    <row r="149" spans="1:11">
      <c r="A149" s="64" t="s">
        <v>2029</v>
      </c>
      <c r="B149" s="64" t="s">
        <v>2108</v>
      </c>
      <c r="C149" s="64" t="s">
        <v>1443</v>
      </c>
      <c r="D149" t="s">
        <v>1710</v>
      </c>
      <c r="E149" s="64"/>
      <c r="F149" s="64"/>
      <c r="G149" s="64"/>
      <c r="H149" s="64">
        <v>0</v>
      </c>
      <c r="I149" s="64">
        <v>1</v>
      </c>
      <c r="J149" s="64">
        <v>0</v>
      </c>
      <c r="K149" s="64"/>
    </row>
    <row r="150" spans="1:11">
      <c r="A150" s="64" t="s">
        <v>2029</v>
      </c>
      <c r="B150" s="64" t="s">
        <v>2108</v>
      </c>
      <c r="C150" s="64" t="s">
        <v>1443</v>
      </c>
      <c r="D150" t="s">
        <v>1707</v>
      </c>
      <c r="E150" s="64"/>
      <c r="F150" s="64"/>
      <c r="G150" s="64"/>
      <c r="H150" s="64"/>
      <c r="I150" s="64"/>
      <c r="J150" s="64"/>
      <c r="K150" s="64"/>
    </row>
    <row r="151" spans="1:11">
      <c r="A151" s="64" t="s">
        <v>2029</v>
      </c>
      <c r="B151" s="64" t="s">
        <v>2108</v>
      </c>
      <c r="C151" s="64" t="s">
        <v>1443</v>
      </c>
      <c r="D151" t="s">
        <v>2094</v>
      </c>
      <c r="E151" s="64"/>
      <c r="F151" s="64"/>
      <c r="G151" s="64"/>
      <c r="H151" s="64"/>
      <c r="I151" s="64"/>
      <c r="J151" s="64"/>
      <c r="K151" s="64"/>
    </row>
    <row r="152" spans="1:11">
      <c r="A152" s="64" t="s">
        <v>2029</v>
      </c>
      <c r="B152" s="64" t="s">
        <v>2108</v>
      </c>
      <c r="C152" s="64" t="s">
        <v>1443</v>
      </c>
      <c r="D152" t="s">
        <v>1492</v>
      </c>
      <c r="E152" s="64"/>
      <c r="F152" s="64"/>
      <c r="G152" s="64"/>
      <c r="H152" s="64">
        <v>1</v>
      </c>
      <c r="I152" s="64">
        <v>1</v>
      </c>
      <c r="J152" s="64">
        <v>0</v>
      </c>
      <c r="K152" s="64"/>
    </row>
    <row r="153" spans="1:11">
      <c r="A153" s="65" t="s">
        <v>202</v>
      </c>
      <c r="B153" s="64" t="s">
        <v>2108</v>
      </c>
      <c r="C153" s="64" t="s">
        <v>1443</v>
      </c>
      <c r="D153" t="s">
        <v>2210</v>
      </c>
    </row>
    <row r="154" spans="1:11">
      <c r="A154" s="64" t="s">
        <v>2029</v>
      </c>
      <c r="B154" s="64" t="s">
        <v>2108</v>
      </c>
      <c r="C154" s="64" t="s">
        <v>1443</v>
      </c>
      <c r="D154" t="s">
        <v>1708</v>
      </c>
      <c r="E154" s="64"/>
      <c r="F154" s="64"/>
      <c r="G154" s="64"/>
      <c r="H154" s="64"/>
      <c r="I154" s="64"/>
      <c r="J154" s="64"/>
      <c r="K154" s="64"/>
    </row>
    <row r="155" spans="1:11">
      <c r="A155" s="64" t="s">
        <v>2029</v>
      </c>
      <c r="B155" s="64" t="s">
        <v>2108</v>
      </c>
      <c r="C155" s="64" t="s">
        <v>1443</v>
      </c>
      <c r="D155" t="s">
        <v>533</v>
      </c>
      <c r="E155" s="64"/>
      <c r="F155" s="64"/>
      <c r="G155" s="64"/>
      <c r="H155" s="64"/>
      <c r="I155" s="64"/>
      <c r="J155" s="64"/>
      <c r="K155" s="64"/>
    </row>
    <row r="156" spans="1:11">
      <c r="A156" s="64" t="s">
        <v>2029</v>
      </c>
      <c r="B156" s="64" t="s">
        <v>2108</v>
      </c>
      <c r="C156" s="64" t="s">
        <v>1443</v>
      </c>
      <c r="D156" t="s">
        <v>513</v>
      </c>
      <c r="E156" s="64"/>
      <c r="F156" s="64"/>
      <c r="G156" s="64"/>
      <c r="H156" s="64">
        <v>1</v>
      </c>
      <c r="I156" s="64">
        <v>1</v>
      </c>
      <c r="J156" s="64">
        <v>0</v>
      </c>
      <c r="K156" s="64"/>
    </row>
    <row r="157" spans="1:11">
      <c r="A157" s="64" t="s">
        <v>2029</v>
      </c>
      <c r="B157" s="64" t="s">
        <v>2108</v>
      </c>
      <c r="C157" s="74" t="s">
        <v>1443</v>
      </c>
      <c r="D157" t="s">
        <v>532</v>
      </c>
      <c r="E157" s="64">
        <v>0</v>
      </c>
      <c r="F157" s="64">
        <v>0</v>
      </c>
      <c r="G157" s="64">
        <v>0</v>
      </c>
      <c r="H157" s="64"/>
      <c r="I157" s="64"/>
      <c r="J157" s="64"/>
      <c r="K157" s="64"/>
    </row>
    <row r="158" spans="1:11">
      <c r="A158" s="64" t="s">
        <v>2029</v>
      </c>
      <c r="B158" s="64" t="s">
        <v>2108</v>
      </c>
      <c r="C158" s="74" t="s">
        <v>1443</v>
      </c>
      <c r="D158" t="s">
        <v>536</v>
      </c>
      <c r="E158" s="64">
        <v>0</v>
      </c>
      <c r="F158" s="64">
        <v>0</v>
      </c>
      <c r="G158" s="64">
        <v>0</v>
      </c>
      <c r="H158" s="64"/>
      <c r="I158" s="64"/>
      <c r="J158" s="64"/>
      <c r="K158" s="64"/>
    </row>
    <row r="159" spans="1:11">
      <c r="A159" s="65" t="s">
        <v>202</v>
      </c>
      <c r="B159" s="64" t="s">
        <v>2108</v>
      </c>
      <c r="C159" s="64" t="s">
        <v>1443</v>
      </c>
      <c r="D159" t="s">
        <v>2220</v>
      </c>
    </row>
    <row r="160" spans="1:11">
      <c r="A160" s="64" t="s">
        <v>2027</v>
      </c>
      <c r="B160" s="64" t="s">
        <v>2108</v>
      </c>
      <c r="C160" s="64" t="s">
        <v>1181</v>
      </c>
      <c r="D160" t="s">
        <v>525</v>
      </c>
      <c r="E160" s="64">
        <v>0</v>
      </c>
      <c r="F160" s="64">
        <v>1</v>
      </c>
      <c r="G160" s="64">
        <v>0</v>
      </c>
      <c r="H160" s="64"/>
      <c r="I160" s="64"/>
      <c r="J160" s="64"/>
      <c r="K160" s="64"/>
    </row>
    <row r="161" spans="1:11">
      <c r="A161" s="64" t="s">
        <v>2027</v>
      </c>
      <c r="B161" s="64" t="s">
        <v>2108</v>
      </c>
      <c r="C161" s="64" t="s">
        <v>1181</v>
      </c>
      <c r="D161" t="s">
        <v>526</v>
      </c>
      <c r="E161" s="64">
        <v>1</v>
      </c>
      <c r="F161" s="64">
        <v>1</v>
      </c>
      <c r="G161" s="64">
        <v>0</v>
      </c>
      <c r="H161" s="64"/>
      <c r="I161" s="64"/>
      <c r="J161" s="64"/>
      <c r="K161" s="64"/>
    </row>
    <row r="162" spans="1:11">
      <c r="A162" s="64" t="s">
        <v>2027</v>
      </c>
      <c r="B162" s="64" t="s">
        <v>2108</v>
      </c>
      <c r="C162" s="64" t="s">
        <v>1181</v>
      </c>
      <c r="D162" t="s">
        <v>655</v>
      </c>
      <c r="E162" s="64">
        <v>0</v>
      </c>
      <c r="F162" s="64">
        <v>0</v>
      </c>
      <c r="G162" s="64">
        <v>1</v>
      </c>
      <c r="H162" s="64">
        <v>1</v>
      </c>
      <c r="I162" s="67">
        <v>1</v>
      </c>
      <c r="J162" s="67">
        <v>1</v>
      </c>
      <c r="K162" s="64"/>
    </row>
    <row r="163" spans="1:11">
      <c r="A163" s="64" t="s">
        <v>2027</v>
      </c>
      <c r="B163" s="64" t="s">
        <v>2108</v>
      </c>
      <c r="C163" s="64" t="s">
        <v>1181</v>
      </c>
      <c r="D163" t="s">
        <v>523</v>
      </c>
      <c r="E163" s="64">
        <v>1</v>
      </c>
      <c r="F163" s="64">
        <v>0</v>
      </c>
      <c r="G163" s="64">
        <v>1</v>
      </c>
      <c r="H163" s="64"/>
      <c r="I163" s="64"/>
      <c r="J163" s="64"/>
      <c r="K163" s="64"/>
    </row>
    <row r="164" spans="1:11">
      <c r="A164" s="64" t="s">
        <v>2027</v>
      </c>
      <c r="B164" s="64" t="s">
        <v>2108</v>
      </c>
      <c r="C164" s="64" t="s">
        <v>1181</v>
      </c>
      <c r="D164" t="s">
        <v>507</v>
      </c>
      <c r="E164" s="64">
        <v>0</v>
      </c>
      <c r="F164" s="64">
        <v>1</v>
      </c>
      <c r="G164" s="64">
        <v>1</v>
      </c>
      <c r="H164" s="64"/>
      <c r="I164" s="64"/>
      <c r="J164" s="64"/>
      <c r="K164" s="64"/>
    </row>
    <row r="165" spans="1:11">
      <c r="A165" s="64" t="s">
        <v>2027</v>
      </c>
      <c r="B165" s="64" t="s">
        <v>2108</v>
      </c>
      <c r="C165" s="64" t="s">
        <v>1181</v>
      </c>
      <c r="D165" t="s">
        <v>512</v>
      </c>
      <c r="E165" s="64">
        <v>1</v>
      </c>
      <c r="F165" s="64">
        <v>1</v>
      </c>
      <c r="G165" s="64">
        <v>1</v>
      </c>
      <c r="H165" s="64">
        <v>0</v>
      </c>
      <c r="I165" s="64">
        <v>1</v>
      </c>
      <c r="J165" s="64">
        <v>1</v>
      </c>
      <c r="K165" s="64"/>
    </row>
    <row r="166" spans="1:11">
      <c r="A166" s="64" t="s">
        <v>2027</v>
      </c>
      <c r="B166" s="64" t="s">
        <v>2108</v>
      </c>
      <c r="C166" s="64" t="s">
        <v>1181</v>
      </c>
      <c r="D166" t="s">
        <v>504</v>
      </c>
      <c r="E166" s="64">
        <v>1</v>
      </c>
      <c r="F166" s="64">
        <v>1</v>
      </c>
      <c r="G166" s="64">
        <v>1</v>
      </c>
      <c r="H166" s="64">
        <v>1</v>
      </c>
      <c r="I166" s="64">
        <v>0</v>
      </c>
      <c r="J166" s="64">
        <v>1</v>
      </c>
      <c r="K166" s="64"/>
    </row>
    <row r="167" spans="1:11">
      <c r="A167" s="64" t="s">
        <v>2027</v>
      </c>
      <c r="B167" s="64" t="s">
        <v>2108</v>
      </c>
      <c r="C167" s="64" t="s">
        <v>1181</v>
      </c>
      <c r="D167" t="s">
        <v>654</v>
      </c>
      <c r="E167" s="64">
        <v>0</v>
      </c>
      <c r="F167" s="64">
        <v>1</v>
      </c>
      <c r="G167" s="65">
        <v>1</v>
      </c>
      <c r="H167" s="64">
        <v>0</v>
      </c>
      <c r="I167" s="64">
        <v>1</v>
      </c>
      <c r="J167" s="64">
        <v>0</v>
      </c>
      <c r="K167" s="64"/>
    </row>
    <row r="168" spans="1:11">
      <c r="A168" s="64" t="s">
        <v>2027</v>
      </c>
      <c r="B168" s="64" t="s">
        <v>2108</v>
      </c>
      <c r="C168" s="64" t="s">
        <v>1181</v>
      </c>
      <c r="D168" t="s">
        <v>521</v>
      </c>
      <c r="E168" s="64">
        <v>0</v>
      </c>
      <c r="F168" s="64">
        <v>1</v>
      </c>
      <c r="G168" s="64">
        <v>1</v>
      </c>
      <c r="H168" s="64"/>
      <c r="I168" s="64"/>
      <c r="J168" s="64"/>
      <c r="K168" s="64"/>
    </row>
    <row r="169" spans="1:11">
      <c r="A169" s="64" t="s">
        <v>2027</v>
      </c>
      <c r="B169" s="64" t="s">
        <v>2108</v>
      </c>
      <c r="C169" s="64" t="s">
        <v>1181</v>
      </c>
      <c r="D169" t="s">
        <v>516</v>
      </c>
      <c r="E169" s="64">
        <v>1</v>
      </c>
      <c r="F169" s="64">
        <v>0</v>
      </c>
      <c r="G169" s="64">
        <v>1</v>
      </c>
      <c r="H169" s="64"/>
      <c r="I169" s="64"/>
      <c r="J169" s="64"/>
      <c r="K169" s="64"/>
    </row>
    <row r="170" spans="1:11">
      <c r="A170" s="64" t="s">
        <v>2027</v>
      </c>
      <c r="B170" s="64" t="s">
        <v>2108</v>
      </c>
      <c r="C170" s="64" t="s">
        <v>1181</v>
      </c>
      <c r="D170" t="s">
        <v>519</v>
      </c>
      <c r="E170" s="64">
        <v>0</v>
      </c>
      <c r="F170" s="64">
        <v>1</v>
      </c>
      <c r="G170" s="64">
        <v>1</v>
      </c>
      <c r="H170" s="64"/>
      <c r="I170" s="64"/>
      <c r="J170" s="64"/>
      <c r="K170" s="64"/>
    </row>
    <row r="171" spans="1:11">
      <c r="A171" s="64" t="s">
        <v>2027</v>
      </c>
      <c r="B171" s="64" t="s">
        <v>2108</v>
      </c>
      <c r="C171" s="64" t="s">
        <v>1181</v>
      </c>
      <c r="D171" t="s">
        <v>511</v>
      </c>
      <c r="E171" s="64">
        <v>1</v>
      </c>
      <c r="F171" s="64">
        <v>0</v>
      </c>
      <c r="G171" s="64">
        <v>1</v>
      </c>
      <c r="H171" s="64"/>
      <c r="I171" s="64"/>
      <c r="J171" s="64"/>
      <c r="K171" s="64"/>
    </row>
    <row r="172" spans="1:11">
      <c r="A172" s="64" t="s">
        <v>2027</v>
      </c>
      <c r="B172" s="64" t="s">
        <v>2108</v>
      </c>
      <c r="C172" s="64" t="s">
        <v>1181</v>
      </c>
      <c r="D172" t="s">
        <v>557</v>
      </c>
      <c r="E172" s="64">
        <v>0</v>
      </c>
      <c r="F172" s="64">
        <v>1</v>
      </c>
      <c r="G172" s="64">
        <v>1</v>
      </c>
      <c r="H172" s="64">
        <v>0</v>
      </c>
      <c r="I172" s="64">
        <v>1</v>
      </c>
      <c r="J172" s="64">
        <v>1</v>
      </c>
      <c r="K172" s="64"/>
    </row>
    <row r="173" spans="1:11">
      <c r="A173" s="64" t="s">
        <v>2027</v>
      </c>
      <c r="B173" s="64" t="s">
        <v>2108</v>
      </c>
      <c r="C173" s="64" t="s">
        <v>1181</v>
      </c>
      <c r="D173" t="s">
        <v>506</v>
      </c>
      <c r="E173" s="64"/>
      <c r="F173" s="64"/>
      <c r="G173" s="64"/>
      <c r="H173" s="64"/>
      <c r="I173" s="64"/>
      <c r="J173" s="64"/>
      <c r="K173" s="64"/>
    </row>
    <row r="174" spans="1:11">
      <c r="A174" s="64" t="s">
        <v>2027</v>
      </c>
      <c r="B174" s="64" t="s">
        <v>2108</v>
      </c>
      <c r="C174" s="64" t="s">
        <v>1181</v>
      </c>
      <c r="D174" t="s">
        <v>2206</v>
      </c>
      <c r="E174" s="64">
        <v>0</v>
      </c>
      <c r="F174" s="64">
        <v>0</v>
      </c>
      <c r="G174" s="64">
        <v>1</v>
      </c>
      <c r="H174" s="64"/>
      <c r="I174" s="64"/>
      <c r="J174" s="64"/>
      <c r="K174" s="64"/>
    </row>
    <row r="175" spans="1:11">
      <c r="A175" s="65" t="s">
        <v>202</v>
      </c>
      <c r="B175" s="64" t="s">
        <v>2108</v>
      </c>
      <c r="C175" s="64" t="s">
        <v>1181</v>
      </c>
      <c r="D175" t="s">
        <v>2205</v>
      </c>
    </row>
    <row r="176" spans="1:11">
      <c r="A176" s="64" t="s">
        <v>2027</v>
      </c>
      <c r="B176" s="64" t="s">
        <v>2108</v>
      </c>
      <c r="C176" s="64" t="s">
        <v>1181</v>
      </c>
      <c r="D176" t="s">
        <v>518</v>
      </c>
      <c r="E176" s="64"/>
      <c r="F176" s="64"/>
      <c r="G176" s="64"/>
      <c r="H176" s="64"/>
      <c r="I176" s="64"/>
      <c r="J176" s="64"/>
      <c r="K176" s="64"/>
    </row>
    <row r="177" spans="1:11">
      <c r="A177" s="64" t="s">
        <v>2027</v>
      </c>
      <c r="B177" s="64" t="s">
        <v>2108</v>
      </c>
      <c r="C177" s="64" t="s">
        <v>1181</v>
      </c>
      <c r="D177" t="s">
        <v>515</v>
      </c>
      <c r="E177" s="64"/>
      <c r="F177" s="64"/>
      <c r="G177" s="64"/>
      <c r="H177" s="64"/>
      <c r="I177" s="64"/>
      <c r="J177" s="64"/>
      <c r="K177" s="64"/>
    </row>
    <row r="178" spans="1:11">
      <c r="A178" s="64" t="s">
        <v>2027</v>
      </c>
      <c r="B178" s="64" t="s">
        <v>2108</v>
      </c>
      <c r="C178" s="64" t="s">
        <v>1181</v>
      </c>
      <c r="D178" t="s">
        <v>522</v>
      </c>
      <c r="E178" s="64">
        <v>1</v>
      </c>
      <c r="F178" s="64">
        <v>0</v>
      </c>
      <c r="G178" s="64">
        <v>1</v>
      </c>
      <c r="H178" s="64"/>
      <c r="I178" s="64"/>
      <c r="J178" s="64"/>
      <c r="K178" s="64"/>
    </row>
    <row r="179" spans="1:11">
      <c r="A179" s="64" t="s">
        <v>2027</v>
      </c>
      <c r="B179" s="64" t="s">
        <v>2108</v>
      </c>
      <c r="C179" s="64" t="s">
        <v>1181</v>
      </c>
      <c r="D179" t="s">
        <v>514</v>
      </c>
      <c r="E179" s="64"/>
      <c r="F179" s="64"/>
      <c r="G179" s="64"/>
      <c r="H179" s="64">
        <v>1</v>
      </c>
      <c r="I179" s="64">
        <v>1</v>
      </c>
      <c r="J179" s="64">
        <v>0</v>
      </c>
      <c r="K179" s="64"/>
    </row>
    <row r="180" spans="1:11">
      <c r="A180" s="64" t="s">
        <v>2027</v>
      </c>
      <c r="B180" s="64" t="s">
        <v>2108</v>
      </c>
      <c r="C180" s="64" t="s">
        <v>1181</v>
      </c>
      <c r="D180" t="s">
        <v>509</v>
      </c>
      <c r="E180" s="64"/>
      <c r="F180" s="64"/>
      <c r="G180" s="64"/>
      <c r="H180" s="64">
        <v>1</v>
      </c>
      <c r="I180" s="65">
        <v>1</v>
      </c>
      <c r="J180" s="65">
        <v>0</v>
      </c>
      <c r="K180" s="64"/>
    </row>
    <row r="181" spans="1:11">
      <c r="A181" s="64" t="s">
        <v>2027</v>
      </c>
      <c r="B181" s="64" t="s">
        <v>2108</v>
      </c>
      <c r="C181" s="64" t="s">
        <v>1181</v>
      </c>
      <c r="D181" t="s">
        <v>508</v>
      </c>
      <c r="E181" s="64"/>
      <c r="F181" s="64"/>
      <c r="G181" s="64"/>
      <c r="H181" s="64"/>
      <c r="I181" s="64"/>
      <c r="J181" s="64"/>
      <c r="K181" s="64"/>
    </row>
    <row r="182" spans="1:11">
      <c r="A182" s="64" t="s">
        <v>2027</v>
      </c>
      <c r="B182" s="64" t="s">
        <v>2108</v>
      </c>
      <c r="C182" s="64" t="s">
        <v>1181</v>
      </c>
      <c r="D182" t="s">
        <v>498</v>
      </c>
      <c r="E182" s="64"/>
      <c r="F182" s="64"/>
      <c r="G182" s="64"/>
      <c r="H182" s="64">
        <v>0</v>
      </c>
      <c r="I182" s="64">
        <v>1</v>
      </c>
      <c r="J182" s="64">
        <v>0</v>
      </c>
      <c r="K182" s="64"/>
    </row>
    <row r="183" spans="1:11">
      <c r="A183" s="64" t="s">
        <v>2027</v>
      </c>
      <c r="B183" s="64" t="s">
        <v>2108</v>
      </c>
      <c r="C183" s="64" t="s">
        <v>1181</v>
      </c>
      <c r="D183" t="s">
        <v>517</v>
      </c>
      <c r="E183" s="64"/>
      <c r="F183" s="64"/>
      <c r="G183" s="64"/>
      <c r="H183" s="64">
        <v>0</v>
      </c>
      <c r="I183" s="64">
        <v>0</v>
      </c>
      <c r="J183" s="64">
        <v>1</v>
      </c>
      <c r="K183" s="64"/>
    </row>
    <row r="184" spans="1:11">
      <c r="A184" s="64" t="s">
        <v>2027</v>
      </c>
      <c r="B184" s="64" t="s">
        <v>2108</v>
      </c>
      <c r="C184" s="64" t="s">
        <v>1181</v>
      </c>
      <c r="D184" t="s">
        <v>501</v>
      </c>
      <c r="E184" s="64"/>
      <c r="F184" s="64"/>
      <c r="G184" s="64"/>
      <c r="H184" s="64">
        <v>1</v>
      </c>
      <c r="I184" s="64">
        <v>0</v>
      </c>
      <c r="J184" s="64">
        <v>1</v>
      </c>
      <c r="K184" s="64"/>
    </row>
    <row r="185" spans="1:11">
      <c r="A185" s="64" t="s">
        <v>2027</v>
      </c>
      <c r="B185" s="64" t="s">
        <v>2108</v>
      </c>
      <c r="C185" s="64" t="s">
        <v>1181</v>
      </c>
      <c r="D185" t="s">
        <v>513</v>
      </c>
      <c r="E185" s="64"/>
      <c r="F185" s="64"/>
      <c r="G185" s="64"/>
      <c r="H185" s="64"/>
      <c r="I185" s="64"/>
      <c r="J185" s="64"/>
      <c r="K185" s="64"/>
    </row>
    <row r="186" spans="1:11">
      <c r="A186" s="64" t="s">
        <v>2027</v>
      </c>
      <c r="B186" s="64" t="s">
        <v>2108</v>
      </c>
      <c r="C186" s="64" t="s">
        <v>1181</v>
      </c>
      <c r="D186" t="s">
        <v>510</v>
      </c>
      <c r="E186" s="64"/>
      <c r="F186" s="64"/>
      <c r="G186" s="64"/>
      <c r="H186" s="64">
        <v>1</v>
      </c>
      <c r="I186" s="64">
        <v>1</v>
      </c>
      <c r="J186" s="64">
        <v>1</v>
      </c>
      <c r="K186" s="64"/>
    </row>
    <row r="187" spans="1:11">
      <c r="A187" s="64" t="s">
        <v>2029</v>
      </c>
      <c r="B187" s="64" t="s">
        <v>2108</v>
      </c>
      <c r="C187" s="64" t="s">
        <v>1503</v>
      </c>
      <c r="D187" t="s">
        <v>507</v>
      </c>
      <c r="E187" s="64"/>
      <c r="F187" s="64"/>
      <c r="G187" s="64"/>
      <c r="H187" s="64"/>
      <c r="I187" s="64"/>
      <c r="J187" s="64"/>
      <c r="K187" s="64"/>
    </row>
    <row r="188" spans="1:11">
      <c r="A188" s="64" t="s">
        <v>2029</v>
      </c>
      <c r="B188" s="64" t="s">
        <v>2108</v>
      </c>
      <c r="C188" s="64" t="s">
        <v>1503</v>
      </c>
      <c r="D188" t="s">
        <v>512</v>
      </c>
      <c r="E188" s="64"/>
      <c r="F188" s="64"/>
      <c r="G188" s="64"/>
      <c r="H188" s="64"/>
      <c r="I188" s="64"/>
      <c r="J188" s="64"/>
      <c r="K188" s="64"/>
    </row>
    <row r="189" spans="1:11">
      <c r="A189" s="64" t="s">
        <v>2029</v>
      </c>
      <c r="B189" s="64" t="s">
        <v>2108</v>
      </c>
      <c r="C189" s="74" t="s">
        <v>1503</v>
      </c>
      <c r="D189" t="s">
        <v>504</v>
      </c>
      <c r="E189" s="64">
        <v>1</v>
      </c>
      <c r="F189" s="64">
        <v>1</v>
      </c>
      <c r="G189" s="65">
        <v>1</v>
      </c>
      <c r="H189" s="64"/>
      <c r="I189" s="64"/>
      <c r="J189" s="64"/>
      <c r="K189" s="64"/>
    </row>
    <row r="190" spans="1:11">
      <c r="A190" s="64" t="s">
        <v>2029</v>
      </c>
      <c r="B190" s="64" t="s">
        <v>2108</v>
      </c>
      <c r="C190" s="74" t="s">
        <v>1503</v>
      </c>
      <c r="D190" t="s">
        <v>554</v>
      </c>
      <c r="E190" s="64">
        <v>1</v>
      </c>
      <c r="F190" s="64">
        <v>1</v>
      </c>
      <c r="G190" s="65">
        <v>1</v>
      </c>
      <c r="H190" s="64"/>
      <c r="I190" s="64"/>
      <c r="J190" s="64"/>
      <c r="K190" s="64"/>
    </row>
    <row r="191" spans="1:11">
      <c r="A191" s="64" t="s">
        <v>2029</v>
      </c>
      <c r="B191" s="64" t="s">
        <v>2108</v>
      </c>
      <c r="C191" s="64" t="s">
        <v>1503</v>
      </c>
      <c r="D191" t="s">
        <v>549</v>
      </c>
      <c r="E191" s="64"/>
      <c r="F191" s="64"/>
      <c r="G191" s="64"/>
      <c r="H191" s="64"/>
      <c r="I191" s="64"/>
      <c r="J191" s="64"/>
      <c r="K191" s="64"/>
    </row>
    <row r="192" spans="1:11">
      <c r="A192" s="64" t="s">
        <v>2029</v>
      </c>
      <c r="B192" s="64" t="s">
        <v>2108</v>
      </c>
      <c r="C192" s="74" t="s">
        <v>1503</v>
      </c>
      <c r="D192" t="s">
        <v>654</v>
      </c>
      <c r="E192" s="64">
        <v>0</v>
      </c>
      <c r="F192" s="64">
        <v>1</v>
      </c>
      <c r="G192" s="65">
        <v>1</v>
      </c>
      <c r="H192" s="64"/>
      <c r="I192" s="64"/>
      <c r="J192" s="64"/>
      <c r="K192" s="64"/>
    </row>
    <row r="193" spans="1:11">
      <c r="A193" s="64" t="s">
        <v>2029</v>
      </c>
      <c r="B193" s="64" t="s">
        <v>2108</v>
      </c>
      <c r="C193" s="74" t="s">
        <v>1503</v>
      </c>
      <c r="D193" t="s">
        <v>894</v>
      </c>
      <c r="E193" s="64">
        <v>1</v>
      </c>
      <c r="F193" s="64">
        <v>0</v>
      </c>
      <c r="G193" s="64">
        <v>0</v>
      </c>
      <c r="H193" s="64"/>
      <c r="I193" s="64"/>
      <c r="J193" s="64"/>
      <c r="K193" s="64"/>
    </row>
    <row r="194" spans="1:11">
      <c r="A194" s="64" t="s">
        <v>2029</v>
      </c>
      <c r="B194" s="64" t="s">
        <v>2108</v>
      </c>
      <c r="C194" s="74" t="s">
        <v>1503</v>
      </c>
      <c r="D194" t="s">
        <v>556</v>
      </c>
      <c r="E194" s="64">
        <v>0</v>
      </c>
      <c r="F194" s="64">
        <v>0</v>
      </c>
      <c r="G194" s="64">
        <v>0</v>
      </c>
      <c r="H194" s="64">
        <v>1</v>
      </c>
      <c r="I194" s="64">
        <v>1</v>
      </c>
      <c r="J194" s="64">
        <v>0</v>
      </c>
      <c r="K194" s="64"/>
    </row>
    <row r="195" spans="1:11">
      <c r="A195" s="64" t="s">
        <v>2029</v>
      </c>
      <c r="B195" s="64" t="s">
        <v>2108</v>
      </c>
      <c r="C195" s="64" t="s">
        <v>1503</v>
      </c>
      <c r="D195" t="s">
        <v>553</v>
      </c>
      <c r="E195" s="64"/>
      <c r="F195" s="64"/>
      <c r="G195" s="64"/>
      <c r="H195" s="64"/>
      <c r="I195" s="64"/>
      <c r="J195" s="64"/>
      <c r="K195" s="64"/>
    </row>
    <row r="196" spans="1:11">
      <c r="A196" s="64" t="s">
        <v>2029</v>
      </c>
      <c r="B196" s="64" t="s">
        <v>2108</v>
      </c>
      <c r="C196" s="64" t="s">
        <v>1503</v>
      </c>
      <c r="D196" t="s">
        <v>511</v>
      </c>
      <c r="E196" s="64"/>
      <c r="F196" s="64"/>
      <c r="G196" s="64"/>
      <c r="H196" s="64"/>
      <c r="I196" s="64"/>
      <c r="J196" s="64"/>
      <c r="K196" s="64"/>
    </row>
    <row r="197" spans="1:11">
      <c r="A197" s="64" t="s">
        <v>2029</v>
      </c>
      <c r="B197" s="64" t="s">
        <v>2108</v>
      </c>
      <c r="C197" s="74" t="s">
        <v>1503</v>
      </c>
      <c r="D197" t="s">
        <v>557</v>
      </c>
      <c r="E197" s="64">
        <v>0</v>
      </c>
      <c r="F197" s="64">
        <v>0</v>
      </c>
      <c r="G197" s="64">
        <v>1</v>
      </c>
      <c r="H197" s="64">
        <v>0</v>
      </c>
      <c r="I197" s="64">
        <v>1</v>
      </c>
      <c r="J197" s="64">
        <v>1</v>
      </c>
      <c r="K197" s="64"/>
    </row>
    <row r="198" spans="1:11">
      <c r="A198" s="64" t="s">
        <v>2029</v>
      </c>
      <c r="B198" s="64" t="s">
        <v>2108</v>
      </c>
      <c r="C198" s="74" t="s">
        <v>1503</v>
      </c>
      <c r="D198" t="s">
        <v>555</v>
      </c>
      <c r="E198" s="64">
        <v>1</v>
      </c>
      <c r="F198" s="64">
        <v>0</v>
      </c>
      <c r="G198" s="64">
        <v>1</v>
      </c>
      <c r="H198" s="64"/>
      <c r="I198" s="64"/>
      <c r="J198" s="64"/>
      <c r="K198" s="64"/>
    </row>
    <row r="199" spans="1:11">
      <c r="A199" s="64" t="s">
        <v>2029</v>
      </c>
      <c r="B199" s="64" t="s">
        <v>2108</v>
      </c>
      <c r="C199" s="74" t="s">
        <v>1503</v>
      </c>
      <c r="D199" t="s">
        <v>552</v>
      </c>
      <c r="E199" s="64">
        <v>0</v>
      </c>
      <c r="F199" s="64">
        <v>0</v>
      </c>
      <c r="G199" s="65">
        <v>1</v>
      </c>
      <c r="H199" s="64"/>
      <c r="I199" s="64"/>
      <c r="J199" s="64"/>
      <c r="K199" s="64"/>
    </row>
    <row r="200" spans="1:11">
      <c r="A200" s="64" t="s">
        <v>2029</v>
      </c>
      <c r="B200" s="64" t="s">
        <v>2108</v>
      </c>
      <c r="C200" s="74" t="s">
        <v>1503</v>
      </c>
      <c r="D200" t="s">
        <v>550</v>
      </c>
      <c r="E200" s="64">
        <v>0</v>
      </c>
      <c r="F200" s="64">
        <v>0</v>
      </c>
      <c r="G200" s="65">
        <v>1</v>
      </c>
      <c r="H200" s="64">
        <v>1</v>
      </c>
      <c r="I200" s="64">
        <v>0</v>
      </c>
      <c r="J200" s="64">
        <v>1</v>
      </c>
      <c r="K200" s="64"/>
    </row>
    <row r="201" spans="1:11">
      <c r="A201" s="64" t="s">
        <v>2029</v>
      </c>
      <c r="B201" s="64" t="s">
        <v>2108</v>
      </c>
      <c r="C201" s="64" t="s">
        <v>1503</v>
      </c>
      <c r="D201" t="s">
        <v>515</v>
      </c>
      <c r="E201" s="64"/>
      <c r="F201" s="64"/>
      <c r="G201" s="64"/>
      <c r="H201" s="64"/>
      <c r="I201" s="64"/>
      <c r="J201" s="64"/>
      <c r="K201" s="64"/>
    </row>
    <row r="202" spans="1:11">
      <c r="A202" s="64" t="s">
        <v>2029</v>
      </c>
      <c r="B202" s="64" t="s">
        <v>2108</v>
      </c>
      <c r="C202" s="64" t="s">
        <v>1503</v>
      </c>
      <c r="D202" t="s">
        <v>514</v>
      </c>
      <c r="E202" s="64"/>
      <c r="F202" s="64"/>
      <c r="G202" s="64"/>
      <c r="H202" s="64"/>
      <c r="I202" s="64"/>
      <c r="J202" s="64"/>
      <c r="K202" s="64"/>
    </row>
    <row r="203" spans="1:11">
      <c r="A203" s="64" t="s">
        <v>2029</v>
      </c>
      <c r="B203" s="64" t="s">
        <v>2108</v>
      </c>
      <c r="C203" s="64" t="s">
        <v>1503</v>
      </c>
      <c r="D203" t="s">
        <v>509</v>
      </c>
      <c r="E203" s="64"/>
      <c r="F203" s="64"/>
      <c r="G203" s="64"/>
      <c r="H203" s="64"/>
      <c r="I203" s="64"/>
      <c r="J203" s="64"/>
      <c r="K203" s="64"/>
    </row>
    <row r="204" spans="1:11">
      <c r="A204" s="64" t="s">
        <v>2029</v>
      </c>
      <c r="B204" s="64" t="s">
        <v>2108</v>
      </c>
      <c r="C204" s="74" t="s">
        <v>1503</v>
      </c>
      <c r="D204" t="s">
        <v>551</v>
      </c>
      <c r="E204" s="64">
        <v>0</v>
      </c>
      <c r="F204" s="64">
        <v>0</v>
      </c>
      <c r="G204" s="65">
        <v>0</v>
      </c>
      <c r="H204" s="64"/>
      <c r="I204" s="64"/>
      <c r="J204" s="64"/>
      <c r="K204" s="64"/>
    </row>
    <row r="205" spans="1:11">
      <c r="A205" s="64" t="s">
        <v>2029</v>
      </c>
      <c r="B205" s="64" t="s">
        <v>2108</v>
      </c>
      <c r="C205" s="74" t="s">
        <v>1503</v>
      </c>
      <c r="D205" t="s">
        <v>508</v>
      </c>
      <c r="E205" s="64">
        <v>0</v>
      </c>
      <c r="F205" s="64">
        <v>0</v>
      </c>
      <c r="G205" s="64">
        <v>1</v>
      </c>
      <c r="H205" s="64"/>
      <c r="I205" s="64"/>
      <c r="J205" s="64"/>
      <c r="K205" s="64"/>
    </row>
    <row r="206" spans="1:11">
      <c r="A206" s="64" t="s">
        <v>2029</v>
      </c>
      <c r="B206" s="64" t="s">
        <v>2108</v>
      </c>
      <c r="C206" s="64" t="s">
        <v>1503</v>
      </c>
      <c r="D206" t="s">
        <v>498</v>
      </c>
      <c r="E206" s="64"/>
      <c r="F206" s="64"/>
      <c r="G206" s="64"/>
      <c r="H206" s="64">
        <v>1</v>
      </c>
      <c r="I206" s="64">
        <v>1</v>
      </c>
      <c r="J206" s="64">
        <v>0</v>
      </c>
      <c r="K206" s="64" t="s">
        <v>1794</v>
      </c>
    </row>
    <row r="207" spans="1:11">
      <c r="A207" s="64" t="s">
        <v>2029</v>
      </c>
      <c r="B207" s="64" t="s">
        <v>2108</v>
      </c>
      <c r="C207" s="74" t="s">
        <v>1503</v>
      </c>
      <c r="D207" t="s">
        <v>517</v>
      </c>
      <c r="E207" s="64">
        <v>0</v>
      </c>
      <c r="F207" s="64">
        <v>1</v>
      </c>
      <c r="G207" s="65">
        <v>0</v>
      </c>
      <c r="H207" s="64"/>
      <c r="I207" s="64"/>
      <c r="J207" s="64"/>
      <c r="K207" s="64"/>
    </row>
    <row r="208" spans="1:11">
      <c r="A208" s="64" t="s">
        <v>2029</v>
      </c>
      <c r="B208" s="64" t="s">
        <v>2108</v>
      </c>
      <c r="C208" s="74" t="s">
        <v>1503</v>
      </c>
      <c r="D208" t="s">
        <v>510</v>
      </c>
      <c r="E208" s="64">
        <v>1</v>
      </c>
      <c r="F208" s="64">
        <v>1</v>
      </c>
      <c r="G208" s="64">
        <v>1</v>
      </c>
      <c r="H208" s="64">
        <v>1</v>
      </c>
      <c r="I208" s="64">
        <v>0</v>
      </c>
      <c r="J208" s="64">
        <v>1</v>
      </c>
      <c r="K208" s="64"/>
    </row>
    <row r="209" spans="1:11">
      <c r="A209" s="64" t="s">
        <v>2027</v>
      </c>
      <c r="B209" s="64" t="s">
        <v>2108</v>
      </c>
      <c r="C209" s="64" t="s">
        <v>1253</v>
      </c>
      <c r="D209" t="s">
        <v>2034</v>
      </c>
      <c r="E209" s="64">
        <v>0</v>
      </c>
      <c r="F209" s="64">
        <v>0</v>
      </c>
      <c r="G209" s="64">
        <v>1</v>
      </c>
      <c r="H209" s="64">
        <v>0</v>
      </c>
      <c r="I209" s="64">
        <v>1</v>
      </c>
      <c r="J209" s="64">
        <v>1</v>
      </c>
      <c r="K209" s="64"/>
    </row>
    <row r="210" spans="1:11">
      <c r="A210" s="64" t="s">
        <v>2029</v>
      </c>
      <c r="B210" s="64" t="s">
        <v>2108</v>
      </c>
      <c r="C210" s="64" t="s">
        <v>1253</v>
      </c>
      <c r="D210" t="s">
        <v>2165</v>
      </c>
    </row>
    <row r="211" spans="1:11">
      <c r="A211" s="64" t="s">
        <v>2029</v>
      </c>
      <c r="B211" s="64" t="s">
        <v>2108</v>
      </c>
      <c r="C211" s="64" t="s">
        <v>1253</v>
      </c>
      <c r="D211" t="s">
        <v>2164</v>
      </c>
    </row>
    <row r="212" spans="1:11">
      <c r="A212" s="64" t="s">
        <v>2029</v>
      </c>
      <c r="B212" s="64" t="s">
        <v>2108</v>
      </c>
      <c r="C212" s="64" t="s">
        <v>1253</v>
      </c>
      <c r="D212" t="s">
        <v>2167</v>
      </c>
    </row>
    <row r="213" spans="1:11">
      <c r="A213" s="64" t="s">
        <v>2027</v>
      </c>
      <c r="B213" s="64" t="s">
        <v>2108</v>
      </c>
      <c r="C213" s="64" t="s">
        <v>1253</v>
      </c>
      <c r="D213" t="s">
        <v>525</v>
      </c>
      <c r="E213" s="64">
        <v>0</v>
      </c>
      <c r="F213" s="64">
        <v>1</v>
      </c>
      <c r="G213" s="64">
        <v>0</v>
      </c>
      <c r="H213" s="64"/>
      <c r="I213" s="64"/>
      <c r="J213" s="64"/>
      <c r="K213" s="64"/>
    </row>
    <row r="214" spans="1:11">
      <c r="A214" s="64" t="s">
        <v>2027</v>
      </c>
      <c r="B214" s="64" t="s">
        <v>2108</v>
      </c>
      <c r="C214" s="64" t="s">
        <v>1253</v>
      </c>
      <c r="D214" t="s">
        <v>526</v>
      </c>
      <c r="E214" s="64">
        <v>1</v>
      </c>
      <c r="F214" s="64">
        <v>1</v>
      </c>
      <c r="G214" s="64">
        <v>0</v>
      </c>
      <c r="H214" s="64">
        <v>0</v>
      </c>
      <c r="I214" s="64">
        <v>1</v>
      </c>
      <c r="J214" s="64">
        <v>1</v>
      </c>
      <c r="K214" s="64"/>
    </row>
    <row r="215" spans="1:11">
      <c r="A215" s="64" t="s">
        <v>2027</v>
      </c>
      <c r="B215" s="64" t="s">
        <v>2108</v>
      </c>
      <c r="C215" s="64" t="s">
        <v>1253</v>
      </c>
      <c r="D215" t="s">
        <v>655</v>
      </c>
      <c r="E215" s="64">
        <v>0</v>
      </c>
      <c r="F215" s="64">
        <v>0</v>
      </c>
      <c r="G215" s="64">
        <v>1</v>
      </c>
      <c r="H215" s="64">
        <v>1</v>
      </c>
      <c r="I215" s="64">
        <v>0</v>
      </c>
      <c r="J215" s="64">
        <v>1</v>
      </c>
      <c r="K215" s="64"/>
    </row>
    <row r="216" spans="1:11">
      <c r="A216" s="64" t="s">
        <v>2027</v>
      </c>
      <c r="B216" s="64" t="s">
        <v>2108</v>
      </c>
      <c r="C216" s="64" t="s">
        <v>1253</v>
      </c>
      <c r="D216" t="s">
        <v>523</v>
      </c>
      <c r="E216" s="64">
        <v>1</v>
      </c>
      <c r="F216" s="64">
        <v>0</v>
      </c>
      <c r="G216" s="64">
        <v>1</v>
      </c>
      <c r="H216" s="64"/>
      <c r="I216" s="64"/>
      <c r="J216" s="64"/>
      <c r="K216" s="64"/>
    </row>
    <row r="217" spans="1:11">
      <c r="A217" s="64" t="s">
        <v>2027</v>
      </c>
      <c r="B217" s="64" t="s">
        <v>2108</v>
      </c>
      <c r="C217" s="64" t="s">
        <v>1253</v>
      </c>
      <c r="D217" t="s">
        <v>2043</v>
      </c>
      <c r="E217" s="64">
        <v>0</v>
      </c>
      <c r="F217" s="64">
        <v>1</v>
      </c>
      <c r="G217" s="64">
        <v>1</v>
      </c>
      <c r="H217" s="64"/>
      <c r="I217" s="64"/>
      <c r="J217" s="64"/>
      <c r="K217" s="64"/>
    </row>
    <row r="218" spans="1:11">
      <c r="A218" s="64" t="s">
        <v>2027</v>
      </c>
      <c r="B218" s="64" t="s">
        <v>2108</v>
      </c>
      <c r="C218" s="64" t="s">
        <v>1253</v>
      </c>
      <c r="D218" t="s">
        <v>504</v>
      </c>
      <c r="E218" s="64">
        <v>1</v>
      </c>
      <c r="F218" s="64">
        <v>1</v>
      </c>
      <c r="G218" s="64">
        <v>1</v>
      </c>
      <c r="H218" s="64">
        <v>0</v>
      </c>
      <c r="I218" s="64">
        <v>1</v>
      </c>
      <c r="J218" s="64">
        <v>1</v>
      </c>
      <c r="K218" s="64"/>
    </row>
    <row r="219" spans="1:11">
      <c r="A219" s="64" t="s">
        <v>2027</v>
      </c>
      <c r="B219" s="64" t="s">
        <v>2108</v>
      </c>
      <c r="C219" s="64" t="s">
        <v>1253</v>
      </c>
      <c r="D219" t="s">
        <v>2045</v>
      </c>
      <c r="E219" s="64">
        <v>0</v>
      </c>
      <c r="F219" s="64">
        <v>1</v>
      </c>
      <c r="G219" s="64">
        <v>1</v>
      </c>
      <c r="H219" s="64">
        <v>1</v>
      </c>
      <c r="I219" s="64">
        <v>1</v>
      </c>
      <c r="J219" s="64">
        <v>1</v>
      </c>
      <c r="K219" s="64"/>
    </row>
    <row r="220" spans="1:11">
      <c r="A220" s="64" t="s">
        <v>2027</v>
      </c>
      <c r="B220" s="64" t="s">
        <v>2108</v>
      </c>
      <c r="C220" s="64" t="s">
        <v>1253</v>
      </c>
      <c r="D220" t="s">
        <v>654</v>
      </c>
      <c r="E220" s="64">
        <v>0</v>
      </c>
      <c r="F220" s="64">
        <v>1</v>
      </c>
      <c r="G220" s="65">
        <v>1</v>
      </c>
      <c r="H220" s="64">
        <v>1</v>
      </c>
      <c r="I220" s="64">
        <v>0</v>
      </c>
      <c r="J220" s="64">
        <v>1</v>
      </c>
      <c r="K220" s="64"/>
    </row>
    <row r="221" spans="1:11">
      <c r="A221" s="64" t="s">
        <v>2027</v>
      </c>
      <c r="B221" s="64" t="s">
        <v>2108</v>
      </c>
      <c r="C221" s="64" t="s">
        <v>1253</v>
      </c>
      <c r="D221" t="s">
        <v>2047</v>
      </c>
      <c r="E221" s="64">
        <v>0</v>
      </c>
      <c r="F221" s="64">
        <v>1</v>
      </c>
      <c r="G221" s="64">
        <v>0</v>
      </c>
      <c r="H221" s="64"/>
      <c r="I221" s="64"/>
      <c r="J221" s="64"/>
      <c r="K221" s="64"/>
    </row>
    <row r="222" spans="1:11">
      <c r="A222" s="64" t="s">
        <v>2027</v>
      </c>
      <c r="B222" s="64" t="s">
        <v>2108</v>
      </c>
      <c r="C222" s="64" t="s">
        <v>1253</v>
      </c>
      <c r="D222" t="s">
        <v>521</v>
      </c>
      <c r="E222" s="64">
        <v>0</v>
      </c>
      <c r="F222" s="64">
        <v>1</v>
      </c>
      <c r="G222" s="64">
        <v>1</v>
      </c>
      <c r="H222" s="64">
        <v>0</v>
      </c>
      <c r="I222" s="64">
        <v>1</v>
      </c>
      <c r="J222" s="64">
        <v>1</v>
      </c>
      <c r="K222" s="64"/>
    </row>
    <row r="223" spans="1:11">
      <c r="A223" s="64" t="s">
        <v>2027</v>
      </c>
      <c r="B223" s="64" t="s">
        <v>2108</v>
      </c>
      <c r="C223" s="64" t="s">
        <v>1253</v>
      </c>
      <c r="D223" t="s">
        <v>2051</v>
      </c>
      <c r="E223" s="64">
        <v>0</v>
      </c>
      <c r="F223" s="64">
        <v>1</v>
      </c>
      <c r="G223" s="64">
        <v>1</v>
      </c>
      <c r="H223" s="64">
        <v>1</v>
      </c>
      <c r="I223" s="64">
        <v>1</v>
      </c>
      <c r="J223" s="64">
        <v>1</v>
      </c>
      <c r="K223" s="64"/>
    </row>
    <row r="224" spans="1:11">
      <c r="A224" s="64" t="s">
        <v>2027</v>
      </c>
      <c r="B224" s="64" t="s">
        <v>2108</v>
      </c>
      <c r="C224" s="64" t="s">
        <v>1253</v>
      </c>
      <c r="D224" t="s">
        <v>516</v>
      </c>
      <c r="E224" s="64">
        <v>1</v>
      </c>
      <c r="F224" s="64">
        <v>0</v>
      </c>
      <c r="G224" s="64">
        <v>1</v>
      </c>
      <c r="H224" s="64">
        <v>1</v>
      </c>
      <c r="I224" s="65">
        <v>0</v>
      </c>
      <c r="J224" s="65">
        <v>1</v>
      </c>
      <c r="K224" s="64"/>
    </row>
    <row r="225" spans="1:11">
      <c r="A225" s="64" t="s">
        <v>2027</v>
      </c>
      <c r="B225" s="64" t="s">
        <v>2108</v>
      </c>
      <c r="C225" s="64" t="s">
        <v>1253</v>
      </c>
      <c r="D225" t="s">
        <v>519</v>
      </c>
      <c r="E225" s="64">
        <v>0</v>
      </c>
      <c r="F225" s="64">
        <v>1</v>
      </c>
      <c r="G225" s="64">
        <v>1</v>
      </c>
      <c r="H225" s="64"/>
      <c r="I225" s="64"/>
      <c r="J225" s="64"/>
      <c r="K225" s="64"/>
    </row>
    <row r="226" spans="1:11">
      <c r="A226" s="64" t="s">
        <v>2027</v>
      </c>
      <c r="B226" s="64" t="s">
        <v>2108</v>
      </c>
      <c r="C226" s="64" t="s">
        <v>1253</v>
      </c>
      <c r="D226" t="s">
        <v>2055</v>
      </c>
      <c r="E226" s="64">
        <v>1</v>
      </c>
      <c r="F226" s="64">
        <v>1</v>
      </c>
      <c r="G226" s="64">
        <v>1</v>
      </c>
      <c r="H226" s="64">
        <v>1</v>
      </c>
      <c r="I226" s="64">
        <v>1</v>
      </c>
      <c r="J226" s="64">
        <v>1</v>
      </c>
      <c r="K226" s="64"/>
    </row>
    <row r="227" spans="1:11">
      <c r="A227" s="64" t="s">
        <v>2027</v>
      </c>
      <c r="B227" s="64" t="s">
        <v>2108</v>
      </c>
      <c r="C227" s="64" t="s">
        <v>1253</v>
      </c>
      <c r="D227" t="s">
        <v>2058</v>
      </c>
      <c r="E227" s="64">
        <v>1</v>
      </c>
      <c r="F227" s="64">
        <v>1</v>
      </c>
      <c r="G227" s="64">
        <v>0</v>
      </c>
      <c r="H227" s="64">
        <v>1</v>
      </c>
      <c r="I227" s="64">
        <v>1</v>
      </c>
      <c r="J227" s="64">
        <v>1</v>
      </c>
      <c r="K227" s="64"/>
    </row>
    <row r="228" spans="1:11">
      <c r="A228" s="64" t="s">
        <v>2027</v>
      </c>
      <c r="B228" s="64" t="s">
        <v>2108</v>
      </c>
      <c r="C228" s="64" t="s">
        <v>1253</v>
      </c>
      <c r="D228" t="s">
        <v>557</v>
      </c>
      <c r="E228" s="64">
        <v>0</v>
      </c>
      <c r="F228" s="64">
        <v>1</v>
      </c>
      <c r="G228" s="64">
        <v>1</v>
      </c>
      <c r="H228" s="64"/>
      <c r="I228" s="64"/>
      <c r="J228" s="64"/>
      <c r="K228" s="64"/>
    </row>
    <row r="229" spans="1:11">
      <c r="A229" s="64" t="s">
        <v>2029</v>
      </c>
      <c r="B229" s="64" t="s">
        <v>2108</v>
      </c>
      <c r="C229" s="64" t="s">
        <v>1253</v>
      </c>
      <c r="D229" t="s">
        <v>2169</v>
      </c>
    </row>
    <row r="230" spans="1:11">
      <c r="A230" s="64" t="s">
        <v>2029</v>
      </c>
      <c r="B230" s="64" t="s">
        <v>2108</v>
      </c>
      <c r="C230" s="64" t="s">
        <v>1253</v>
      </c>
      <c r="D230" t="s">
        <v>2166</v>
      </c>
    </row>
    <row r="231" spans="1:11">
      <c r="A231" s="64" t="s">
        <v>2027</v>
      </c>
      <c r="B231" s="64" t="s">
        <v>2108</v>
      </c>
      <c r="C231" s="64" t="s">
        <v>1253</v>
      </c>
      <c r="D231" t="s">
        <v>2064</v>
      </c>
      <c r="E231" s="64"/>
      <c r="F231" s="64"/>
      <c r="G231" s="64"/>
      <c r="H231" s="64"/>
      <c r="I231" s="64"/>
      <c r="J231" s="64"/>
      <c r="K231" s="64"/>
    </row>
    <row r="232" spans="1:11">
      <c r="A232" s="64" t="s">
        <v>2027</v>
      </c>
      <c r="B232" s="64" t="s">
        <v>2108</v>
      </c>
      <c r="C232" s="64" t="s">
        <v>1253</v>
      </c>
      <c r="D232" t="s">
        <v>2070</v>
      </c>
      <c r="E232" s="64"/>
      <c r="F232" s="64"/>
      <c r="G232" s="64"/>
      <c r="H232" s="64">
        <v>0</v>
      </c>
      <c r="I232" s="64">
        <v>1</v>
      </c>
      <c r="J232" s="64">
        <v>1</v>
      </c>
      <c r="K232" s="64"/>
    </row>
    <row r="233" spans="1:11">
      <c r="A233" s="64" t="s">
        <v>2029</v>
      </c>
      <c r="B233" s="64" t="s">
        <v>2108</v>
      </c>
      <c r="C233" s="64" t="s">
        <v>1253</v>
      </c>
      <c r="D233" t="s">
        <v>2168</v>
      </c>
    </row>
    <row r="234" spans="1:11">
      <c r="A234" s="64" t="s">
        <v>2027</v>
      </c>
      <c r="B234" s="64" t="s">
        <v>2108</v>
      </c>
      <c r="C234" s="64" t="s">
        <v>1253</v>
      </c>
      <c r="D234" t="s">
        <v>2074</v>
      </c>
      <c r="E234" s="64"/>
      <c r="F234" s="64"/>
      <c r="G234" s="64"/>
      <c r="H234" s="64"/>
      <c r="I234" s="64"/>
      <c r="J234" s="64"/>
      <c r="K234" s="64"/>
    </row>
    <row r="235" spans="1:11">
      <c r="A235" s="64" t="s">
        <v>2027</v>
      </c>
      <c r="B235" s="64" t="s">
        <v>2108</v>
      </c>
      <c r="C235" s="64" t="s">
        <v>1253</v>
      </c>
      <c r="D235" t="s">
        <v>515</v>
      </c>
      <c r="E235" s="64">
        <v>1</v>
      </c>
      <c r="F235" s="64">
        <v>0</v>
      </c>
      <c r="G235" s="64">
        <v>1</v>
      </c>
      <c r="H235" s="64">
        <v>1</v>
      </c>
      <c r="I235" s="64">
        <v>0</v>
      </c>
      <c r="J235" s="64">
        <v>0</v>
      </c>
      <c r="K235" s="64"/>
    </row>
    <row r="236" spans="1:11">
      <c r="A236" s="64" t="s">
        <v>2027</v>
      </c>
      <c r="B236" s="64" t="s">
        <v>2108</v>
      </c>
      <c r="C236" s="64" t="s">
        <v>1253</v>
      </c>
      <c r="D236" t="s">
        <v>522</v>
      </c>
      <c r="E236" s="64"/>
      <c r="F236" s="64"/>
      <c r="G236" s="64"/>
      <c r="H236" s="64"/>
      <c r="I236" s="64"/>
      <c r="J236" s="64"/>
      <c r="K236" s="64"/>
    </row>
    <row r="237" spans="1:11">
      <c r="A237" s="64" t="s">
        <v>2027</v>
      </c>
      <c r="B237" s="64" t="s">
        <v>2108</v>
      </c>
      <c r="C237" s="64" t="s">
        <v>1253</v>
      </c>
      <c r="D237" t="s">
        <v>2078</v>
      </c>
      <c r="E237" s="64"/>
      <c r="F237" s="64"/>
      <c r="G237" s="64"/>
      <c r="H237" s="64"/>
      <c r="I237" s="64"/>
      <c r="J237" s="64"/>
      <c r="K237" s="64"/>
    </row>
    <row r="238" spans="1:11">
      <c r="A238" s="64" t="s">
        <v>2027</v>
      </c>
      <c r="B238" s="64" t="s">
        <v>2108</v>
      </c>
      <c r="C238" s="64" t="s">
        <v>1253</v>
      </c>
      <c r="D238" t="s">
        <v>514</v>
      </c>
      <c r="E238" s="64">
        <v>1</v>
      </c>
      <c r="F238" s="64">
        <v>0</v>
      </c>
      <c r="G238" s="64">
        <v>1</v>
      </c>
      <c r="H238" s="64">
        <v>0</v>
      </c>
      <c r="I238" s="64">
        <v>1</v>
      </c>
      <c r="J238" s="64">
        <v>1</v>
      </c>
      <c r="K238" s="64"/>
    </row>
    <row r="239" spans="1:11">
      <c r="A239" s="64" t="s">
        <v>2027</v>
      </c>
      <c r="B239" s="64" t="s">
        <v>2108</v>
      </c>
      <c r="C239" s="64" t="s">
        <v>1253</v>
      </c>
      <c r="D239" t="s">
        <v>2079</v>
      </c>
      <c r="E239" s="64"/>
      <c r="F239" s="64"/>
      <c r="G239" s="64"/>
      <c r="H239" s="64"/>
      <c r="I239" s="64"/>
      <c r="J239" s="64"/>
      <c r="K239" s="64"/>
    </row>
    <row r="240" spans="1:11">
      <c r="A240" s="64" t="s">
        <v>2027</v>
      </c>
      <c r="B240" s="64" t="s">
        <v>2108</v>
      </c>
      <c r="C240" s="64" t="s">
        <v>1253</v>
      </c>
      <c r="D240" t="s">
        <v>508</v>
      </c>
      <c r="E240" s="64">
        <v>0</v>
      </c>
      <c r="F240" s="64">
        <v>0</v>
      </c>
      <c r="G240" s="64">
        <v>1</v>
      </c>
      <c r="H240" s="64">
        <v>1</v>
      </c>
      <c r="I240" s="64">
        <v>0</v>
      </c>
      <c r="J240" s="64">
        <v>0</v>
      </c>
      <c r="K240" s="64"/>
    </row>
    <row r="241" spans="1:11">
      <c r="A241" s="64" t="s">
        <v>2027</v>
      </c>
      <c r="B241" s="64" t="s">
        <v>2108</v>
      </c>
      <c r="C241" s="64" t="s">
        <v>1253</v>
      </c>
      <c r="D241" t="s">
        <v>498</v>
      </c>
      <c r="E241" s="64">
        <v>0</v>
      </c>
      <c r="F241" s="64">
        <v>1</v>
      </c>
      <c r="G241" s="64">
        <v>1</v>
      </c>
      <c r="H241" s="64"/>
      <c r="I241" s="64"/>
      <c r="J241" s="64"/>
      <c r="K241" s="64"/>
    </row>
    <row r="242" spans="1:11">
      <c r="A242" s="64" t="s">
        <v>2029</v>
      </c>
      <c r="B242" s="64" t="s">
        <v>2108</v>
      </c>
      <c r="C242" s="64" t="s">
        <v>1253</v>
      </c>
      <c r="D242" t="s">
        <v>2170</v>
      </c>
    </row>
    <row r="243" spans="1:11">
      <c r="A243" s="64" t="s">
        <v>2027</v>
      </c>
      <c r="B243" s="64" t="s">
        <v>2108</v>
      </c>
      <c r="C243" s="64" t="s">
        <v>1253</v>
      </c>
      <c r="D243" t="s">
        <v>517</v>
      </c>
      <c r="E243" s="64">
        <v>0</v>
      </c>
      <c r="F243" s="64">
        <v>1</v>
      </c>
      <c r="G243" s="64">
        <v>1</v>
      </c>
      <c r="H243" s="64"/>
      <c r="I243" s="64"/>
      <c r="J243" s="64"/>
      <c r="K243" s="64"/>
    </row>
    <row r="244" spans="1:11">
      <c r="A244" s="64" t="s">
        <v>2027</v>
      </c>
      <c r="B244" s="64" t="s">
        <v>2108</v>
      </c>
      <c r="C244" s="64" t="s">
        <v>1253</v>
      </c>
      <c r="D244" t="s">
        <v>2081</v>
      </c>
      <c r="E244" s="64"/>
      <c r="F244" s="64"/>
      <c r="G244" s="64"/>
      <c r="H244" s="64"/>
      <c r="I244" s="64"/>
      <c r="J244" s="64"/>
      <c r="K244" s="64"/>
    </row>
    <row r="245" spans="1:11">
      <c r="A245" s="64" t="s">
        <v>2027</v>
      </c>
      <c r="B245" s="64" t="s">
        <v>2108</v>
      </c>
      <c r="C245" s="64" t="s">
        <v>1253</v>
      </c>
      <c r="D245" t="s">
        <v>2082</v>
      </c>
      <c r="E245" s="64"/>
      <c r="F245" s="64"/>
      <c r="G245" s="64"/>
      <c r="H245" s="64"/>
      <c r="I245" s="64"/>
      <c r="J245" s="64"/>
      <c r="K245" s="64"/>
    </row>
    <row r="246" spans="1:11">
      <c r="A246" s="64" t="s">
        <v>2027</v>
      </c>
      <c r="B246" s="64" t="s">
        <v>2108</v>
      </c>
      <c r="C246" s="64" t="s">
        <v>1253</v>
      </c>
      <c r="D246" t="s">
        <v>501</v>
      </c>
      <c r="E246" s="64">
        <v>0</v>
      </c>
      <c r="F246" s="64">
        <v>0</v>
      </c>
      <c r="G246" s="64">
        <v>1</v>
      </c>
      <c r="H246" s="64">
        <v>0</v>
      </c>
      <c r="I246" s="64">
        <v>1</v>
      </c>
      <c r="J246" s="64">
        <v>0</v>
      </c>
      <c r="K246" s="64"/>
    </row>
    <row r="247" spans="1:11">
      <c r="A247" s="64" t="s">
        <v>2027</v>
      </c>
      <c r="B247" s="64" t="s">
        <v>2108</v>
      </c>
      <c r="C247" s="64" t="s">
        <v>1253</v>
      </c>
      <c r="D247" t="s">
        <v>2097</v>
      </c>
      <c r="E247" s="64"/>
      <c r="F247" s="64"/>
      <c r="G247" s="64"/>
      <c r="H247" s="64"/>
      <c r="I247" s="64"/>
      <c r="J247" s="64"/>
      <c r="K247" s="64"/>
    </row>
    <row r="248" spans="1:11">
      <c r="A248" s="64" t="s">
        <v>2029</v>
      </c>
      <c r="B248" s="64" t="s">
        <v>2108</v>
      </c>
      <c r="C248" s="64" t="s">
        <v>1253</v>
      </c>
      <c r="D248" t="s">
        <v>542</v>
      </c>
    </row>
    <row r="249" spans="1:11">
      <c r="A249" s="64" t="s">
        <v>2027</v>
      </c>
      <c r="B249" s="64" t="s">
        <v>2108</v>
      </c>
      <c r="C249" s="64" t="s">
        <v>1253</v>
      </c>
      <c r="D249" t="s">
        <v>513</v>
      </c>
      <c r="E249" s="64">
        <v>1</v>
      </c>
      <c r="F249" s="64">
        <v>1</v>
      </c>
      <c r="G249" s="64">
        <v>0</v>
      </c>
      <c r="H249" s="64">
        <v>1</v>
      </c>
      <c r="I249" s="64">
        <v>1</v>
      </c>
      <c r="J249" s="64">
        <v>0</v>
      </c>
      <c r="K249" s="64"/>
    </row>
    <row r="250" spans="1:11">
      <c r="A250" s="64" t="s">
        <v>2027</v>
      </c>
      <c r="B250" s="64" t="s">
        <v>2108</v>
      </c>
      <c r="C250" s="64" t="s">
        <v>1253</v>
      </c>
      <c r="D250" t="s">
        <v>510</v>
      </c>
      <c r="E250" s="64">
        <v>1</v>
      </c>
      <c r="F250" s="64">
        <v>1</v>
      </c>
      <c r="G250" s="64">
        <v>1</v>
      </c>
      <c r="H250" s="64"/>
      <c r="I250" s="64"/>
      <c r="J250" s="64"/>
      <c r="K250" s="64"/>
    </row>
    <row r="251" spans="1:11">
      <c r="A251" s="65" t="s">
        <v>202</v>
      </c>
      <c r="B251" s="64" t="s">
        <v>2108</v>
      </c>
      <c r="C251" s="64" t="s">
        <v>1513</v>
      </c>
      <c r="D251" t="s">
        <v>2211</v>
      </c>
    </row>
    <row r="252" spans="1:11">
      <c r="A252" s="65" t="s">
        <v>202</v>
      </c>
      <c r="B252" s="64" t="s">
        <v>2108</v>
      </c>
      <c r="C252" s="64" t="s">
        <v>1513</v>
      </c>
      <c r="D252" t="s">
        <v>2222</v>
      </c>
    </row>
    <row r="253" spans="1:11">
      <c r="A253" s="65" t="s">
        <v>202</v>
      </c>
      <c r="B253" s="64" t="s">
        <v>2108</v>
      </c>
      <c r="C253" s="64" t="s">
        <v>1513</v>
      </c>
      <c r="D253" t="s">
        <v>1675</v>
      </c>
    </row>
    <row r="254" spans="1:11">
      <c r="A254" s="64" t="s">
        <v>2029</v>
      </c>
      <c r="B254" s="64" t="s">
        <v>2108</v>
      </c>
      <c r="C254" s="64" t="s">
        <v>1513</v>
      </c>
      <c r="D254" t="s">
        <v>561</v>
      </c>
      <c r="E254" s="64"/>
      <c r="F254" s="64"/>
      <c r="G254" s="64"/>
      <c r="H254" s="64">
        <v>0</v>
      </c>
      <c r="I254" s="64">
        <v>1</v>
      </c>
      <c r="J254" s="64">
        <v>0</v>
      </c>
      <c r="K254" s="64"/>
    </row>
    <row r="255" spans="1:11">
      <c r="A255" s="65" t="s">
        <v>202</v>
      </c>
      <c r="B255" s="64" t="s">
        <v>2108</v>
      </c>
      <c r="C255" s="64" t="s">
        <v>1513</v>
      </c>
      <c r="D255" t="s">
        <v>2167</v>
      </c>
    </row>
    <row r="256" spans="1:11">
      <c r="A256" s="65" t="s">
        <v>202</v>
      </c>
      <c r="B256" s="64" t="s">
        <v>2108</v>
      </c>
      <c r="C256" s="64" t="s">
        <v>1513</v>
      </c>
      <c r="D256" t="s">
        <v>2216</v>
      </c>
    </row>
    <row r="257" spans="1:11">
      <c r="A257" s="65" t="s">
        <v>202</v>
      </c>
      <c r="B257" s="64" t="s">
        <v>2108</v>
      </c>
      <c r="C257" s="64" t="s">
        <v>1513</v>
      </c>
      <c r="D257" t="s">
        <v>1695</v>
      </c>
    </row>
    <row r="258" spans="1:11">
      <c r="A258" s="65" t="s">
        <v>202</v>
      </c>
      <c r="B258" s="64" t="s">
        <v>2108</v>
      </c>
      <c r="C258" s="64" t="s">
        <v>1513</v>
      </c>
      <c r="D258" t="s">
        <v>2209</v>
      </c>
    </row>
    <row r="259" spans="1:11">
      <c r="A259" s="64" t="s">
        <v>2029</v>
      </c>
      <c r="B259" s="64" t="s">
        <v>2108</v>
      </c>
      <c r="C259" s="74" t="s">
        <v>1513</v>
      </c>
      <c r="D259" t="s">
        <v>569</v>
      </c>
      <c r="E259" s="64">
        <v>0</v>
      </c>
      <c r="F259" s="64">
        <v>0</v>
      </c>
      <c r="G259" s="64">
        <v>0</v>
      </c>
      <c r="H259" s="64">
        <v>1</v>
      </c>
      <c r="I259" s="64">
        <v>1</v>
      </c>
      <c r="J259" s="64">
        <v>0</v>
      </c>
      <c r="K259" s="64"/>
    </row>
    <row r="260" spans="1:11">
      <c r="A260" s="65" t="s">
        <v>202</v>
      </c>
      <c r="B260" s="64" t="s">
        <v>2108</v>
      </c>
      <c r="C260" s="64" t="s">
        <v>1513</v>
      </c>
      <c r="D260" t="s">
        <v>2040</v>
      </c>
    </row>
    <row r="261" spans="1:11">
      <c r="A261" s="64" t="s">
        <v>2029</v>
      </c>
      <c r="B261" s="64" t="s">
        <v>2108</v>
      </c>
      <c r="C261" s="64" t="s">
        <v>1513</v>
      </c>
      <c r="D261" t="s">
        <v>566</v>
      </c>
      <c r="E261" s="64"/>
      <c r="F261" s="64"/>
      <c r="G261" s="64"/>
      <c r="H261" s="64"/>
      <c r="I261" s="64"/>
      <c r="J261" s="64"/>
      <c r="K261" s="64"/>
    </row>
    <row r="262" spans="1:11">
      <c r="A262" s="64" t="s">
        <v>2029</v>
      </c>
      <c r="B262" s="64" t="s">
        <v>2108</v>
      </c>
      <c r="C262" s="74" t="s">
        <v>1513</v>
      </c>
      <c r="D262" t="s">
        <v>562</v>
      </c>
      <c r="E262" s="64">
        <v>0</v>
      </c>
      <c r="F262" s="64">
        <v>0</v>
      </c>
      <c r="G262" s="64">
        <v>0</v>
      </c>
      <c r="H262" s="64"/>
      <c r="I262" s="64"/>
      <c r="J262" s="64"/>
      <c r="K262" s="64"/>
    </row>
    <row r="263" spans="1:11">
      <c r="A263" s="65" t="s">
        <v>202</v>
      </c>
      <c r="B263" s="64" t="s">
        <v>2108</v>
      </c>
      <c r="C263" s="64" t="s">
        <v>1513</v>
      </c>
      <c r="D263" t="s">
        <v>2213</v>
      </c>
    </row>
    <row r="264" spans="1:11">
      <c r="A264" s="64" t="s">
        <v>2029</v>
      </c>
      <c r="B264" s="64" t="s">
        <v>2108</v>
      </c>
      <c r="C264" s="64" t="s">
        <v>1513</v>
      </c>
      <c r="D264" t="s">
        <v>504</v>
      </c>
      <c r="E264" s="64"/>
      <c r="F264" s="64"/>
      <c r="G264" s="64"/>
      <c r="H264" s="64">
        <v>1</v>
      </c>
      <c r="I264" s="64">
        <v>0</v>
      </c>
      <c r="J264" s="64">
        <v>0</v>
      </c>
      <c r="K264" s="64"/>
    </row>
    <row r="265" spans="1:11">
      <c r="A265" s="65" t="s">
        <v>202</v>
      </c>
      <c r="B265" s="64" t="s">
        <v>2108</v>
      </c>
      <c r="C265" s="64" t="s">
        <v>1513</v>
      </c>
      <c r="D265" t="s">
        <v>1487</v>
      </c>
    </row>
    <row r="266" spans="1:11">
      <c r="A266" s="65" t="s">
        <v>202</v>
      </c>
      <c r="B266" s="64" t="s">
        <v>2108</v>
      </c>
      <c r="C266" s="64" t="s">
        <v>1513</v>
      </c>
      <c r="D266" t="s">
        <v>2218</v>
      </c>
    </row>
    <row r="267" spans="1:11">
      <c r="A267" s="65" t="s">
        <v>202</v>
      </c>
      <c r="B267" s="64" t="s">
        <v>2108</v>
      </c>
      <c r="C267" s="64" t="s">
        <v>1513</v>
      </c>
      <c r="D267" t="s">
        <v>1470</v>
      </c>
    </row>
    <row r="268" spans="1:11">
      <c r="A268" s="65" t="s">
        <v>202</v>
      </c>
      <c r="B268" s="64" t="s">
        <v>2108</v>
      </c>
      <c r="C268" s="64" t="s">
        <v>1513</v>
      </c>
      <c r="D268" t="s">
        <v>2219</v>
      </c>
    </row>
    <row r="269" spans="1:11">
      <c r="A269" s="65" t="s">
        <v>202</v>
      </c>
      <c r="B269" s="64" t="s">
        <v>2108</v>
      </c>
      <c r="C269" s="64" t="s">
        <v>1513</v>
      </c>
      <c r="D269" t="s">
        <v>1705</v>
      </c>
    </row>
    <row r="270" spans="1:11">
      <c r="A270" s="64" t="s">
        <v>2029</v>
      </c>
      <c r="B270" s="64" t="s">
        <v>2108</v>
      </c>
      <c r="C270" s="74" t="s">
        <v>1513</v>
      </c>
      <c r="D270" t="s">
        <v>568</v>
      </c>
      <c r="E270" s="64">
        <v>1</v>
      </c>
      <c r="F270" s="64">
        <v>1</v>
      </c>
      <c r="G270" s="64">
        <v>1</v>
      </c>
      <c r="H270" s="64"/>
      <c r="I270" s="64"/>
      <c r="J270" s="64"/>
      <c r="K270" s="64"/>
    </row>
    <row r="271" spans="1:11">
      <c r="A271" s="64" t="s">
        <v>2029</v>
      </c>
      <c r="B271" s="64" t="s">
        <v>2108</v>
      </c>
      <c r="C271" s="74" t="s">
        <v>1513</v>
      </c>
      <c r="D271" t="s">
        <v>564</v>
      </c>
      <c r="E271" s="64">
        <v>0</v>
      </c>
      <c r="F271" s="64">
        <v>0</v>
      </c>
      <c r="G271" s="64">
        <v>0</v>
      </c>
      <c r="H271" s="64"/>
      <c r="I271" s="64"/>
      <c r="J271" s="64"/>
      <c r="K271" s="64"/>
    </row>
    <row r="272" spans="1:11">
      <c r="A272" s="64" t="s">
        <v>2029</v>
      </c>
      <c r="B272" s="64" t="s">
        <v>2108</v>
      </c>
      <c r="C272" s="64" t="s">
        <v>1513</v>
      </c>
      <c r="D272" t="s">
        <v>559</v>
      </c>
      <c r="E272" s="64"/>
      <c r="F272" s="64"/>
      <c r="G272" s="64"/>
      <c r="H272" s="64">
        <v>1</v>
      </c>
      <c r="I272" s="64">
        <v>1</v>
      </c>
      <c r="J272" s="64">
        <v>1</v>
      </c>
      <c r="K272" s="64"/>
    </row>
    <row r="273" spans="1:11">
      <c r="A273" s="65" t="s">
        <v>202</v>
      </c>
      <c r="B273" s="64" t="s">
        <v>2108</v>
      </c>
      <c r="C273" s="64" t="s">
        <v>1513</v>
      </c>
      <c r="D273" t="s">
        <v>534</v>
      </c>
    </row>
    <row r="274" spans="1:11">
      <c r="A274" s="65" t="s">
        <v>202</v>
      </c>
      <c r="B274" s="64" t="s">
        <v>2108</v>
      </c>
      <c r="C274" s="64" t="s">
        <v>1513</v>
      </c>
      <c r="D274" t="s">
        <v>2212</v>
      </c>
    </row>
    <row r="275" spans="1:11">
      <c r="A275" s="65" t="s">
        <v>202</v>
      </c>
      <c r="B275" s="64" t="s">
        <v>2108</v>
      </c>
      <c r="C275" s="64" t="s">
        <v>1513</v>
      </c>
      <c r="D275" t="s">
        <v>2221</v>
      </c>
    </row>
    <row r="276" spans="1:11">
      <c r="A276" s="65" t="s">
        <v>202</v>
      </c>
      <c r="B276" s="64" t="s">
        <v>2108</v>
      </c>
      <c r="C276" s="64" t="s">
        <v>1513</v>
      </c>
      <c r="D276" t="s">
        <v>2217</v>
      </c>
    </row>
    <row r="277" spans="1:11">
      <c r="A277" s="64" t="s">
        <v>2029</v>
      </c>
      <c r="B277" s="64" t="s">
        <v>2108</v>
      </c>
      <c r="C277" s="64" t="s">
        <v>1513</v>
      </c>
      <c r="D277" t="s">
        <v>563</v>
      </c>
      <c r="E277" s="64"/>
      <c r="F277" s="64"/>
      <c r="G277" s="64"/>
      <c r="H277" s="64">
        <v>1</v>
      </c>
      <c r="I277" s="64">
        <v>0</v>
      </c>
      <c r="J277" s="64">
        <v>1</v>
      </c>
      <c r="K277" s="64"/>
    </row>
    <row r="278" spans="1:11">
      <c r="A278" s="64" t="s">
        <v>2029</v>
      </c>
      <c r="B278" s="64" t="s">
        <v>2108</v>
      </c>
      <c r="C278" s="74" t="s">
        <v>1513</v>
      </c>
      <c r="D278" t="s">
        <v>558</v>
      </c>
      <c r="E278" s="64">
        <v>1</v>
      </c>
      <c r="F278" s="64">
        <v>0</v>
      </c>
      <c r="G278" s="64">
        <v>1</v>
      </c>
      <c r="H278" s="64"/>
      <c r="I278" s="64"/>
      <c r="J278" s="64"/>
      <c r="K278" s="64"/>
    </row>
    <row r="279" spans="1:11">
      <c r="A279" s="64" t="s">
        <v>2029</v>
      </c>
      <c r="B279" s="64" t="s">
        <v>2108</v>
      </c>
      <c r="C279" s="64" t="s">
        <v>1513</v>
      </c>
      <c r="D279" t="s">
        <v>1693</v>
      </c>
      <c r="E279" s="64">
        <v>0</v>
      </c>
      <c r="F279" s="64">
        <v>0</v>
      </c>
      <c r="G279" s="64">
        <v>1</v>
      </c>
      <c r="H279" s="64">
        <v>1</v>
      </c>
      <c r="I279" s="64">
        <v>1</v>
      </c>
      <c r="J279" s="64">
        <v>0</v>
      </c>
      <c r="K279" s="64"/>
    </row>
    <row r="280" spans="1:11">
      <c r="A280" s="65" t="s">
        <v>202</v>
      </c>
      <c r="B280" s="64" t="s">
        <v>2108</v>
      </c>
      <c r="C280" s="64" t="s">
        <v>1513</v>
      </c>
      <c r="D280" t="s">
        <v>2176</v>
      </c>
    </row>
    <row r="281" spans="1:11">
      <c r="A281" s="64" t="s">
        <v>2029</v>
      </c>
      <c r="B281" s="64" t="s">
        <v>2108</v>
      </c>
      <c r="C281" s="74" t="s">
        <v>1513</v>
      </c>
      <c r="D281" t="s">
        <v>567</v>
      </c>
      <c r="E281" s="64">
        <v>1</v>
      </c>
      <c r="F281" s="64">
        <v>1</v>
      </c>
      <c r="G281" s="64">
        <v>1</v>
      </c>
      <c r="H281" s="64">
        <v>1</v>
      </c>
      <c r="I281" s="64">
        <v>1</v>
      </c>
      <c r="J281" s="64">
        <v>1</v>
      </c>
      <c r="K281" s="64"/>
    </row>
    <row r="282" spans="1:11">
      <c r="A282" s="65" t="s">
        <v>202</v>
      </c>
      <c r="B282" s="64" t="s">
        <v>2108</v>
      </c>
      <c r="C282" s="64" t="s">
        <v>1513</v>
      </c>
      <c r="D282" t="s">
        <v>2214</v>
      </c>
    </row>
    <row r="283" spans="1:11">
      <c r="A283" s="65" t="s">
        <v>202</v>
      </c>
      <c r="B283" s="64" t="s">
        <v>2108</v>
      </c>
      <c r="C283" s="64" t="s">
        <v>1513</v>
      </c>
      <c r="D283" t="s">
        <v>2210</v>
      </c>
    </row>
    <row r="284" spans="1:11">
      <c r="A284" s="65" t="s">
        <v>202</v>
      </c>
      <c r="B284" s="64" t="s">
        <v>2108</v>
      </c>
      <c r="C284" s="64" t="s">
        <v>1513</v>
      </c>
      <c r="D284" t="s">
        <v>2215</v>
      </c>
    </row>
    <row r="285" spans="1:11">
      <c r="A285" s="64" t="s">
        <v>2029</v>
      </c>
      <c r="B285" s="64" t="s">
        <v>2108</v>
      </c>
      <c r="C285" s="74" t="s">
        <v>1513</v>
      </c>
      <c r="D285" t="s">
        <v>565</v>
      </c>
      <c r="E285" s="64">
        <v>0</v>
      </c>
      <c r="F285" s="64">
        <v>0</v>
      </c>
      <c r="G285" s="64">
        <v>0</v>
      </c>
      <c r="H285" s="64"/>
      <c r="I285" s="64"/>
      <c r="J285" s="64"/>
      <c r="K285" s="64"/>
    </row>
    <row r="286" spans="1:11">
      <c r="A286" s="65" t="s">
        <v>202</v>
      </c>
      <c r="B286" s="64" t="s">
        <v>2108</v>
      </c>
      <c r="C286" s="64" t="s">
        <v>1513</v>
      </c>
      <c r="D286" t="s">
        <v>2220</v>
      </c>
    </row>
    <row r="287" spans="1:11">
      <c r="A287" s="64" t="s">
        <v>2029</v>
      </c>
      <c r="B287" s="64" t="s">
        <v>2108</v>
      </c>
      <c r="C287" s="64" t="s">
        <v>1527</v>
      </c>
      <c r="D287" t="s">
        <v>1675</v>
      </c>
      <c r="E287" s="64">
        <v>0</v>
      </c>
      <c r="F287" s="64">
        <v>1</v>
      </c>
      <c r="G287" s="64">
        <v>0</v>
      </c>
      <c r="H287" s="64">
        <v>1</v>
      </c>
      <c r="I287" s="64">
        <v>0</v>
      </c>
      <c r="J287" s="64">
        <v>1</v>
      </c>
      <c r="K287" s="64"/>
    </row>
    <row r="288" spans="1:11">
      <c r="A288" s="64" t="s">
        <v>2029</v>
      </c>
      <c r="B288" s="64" t="s">
        <v>2108</v>
      </c>
      <c r="C288" s="64" t="s">
        <v>1527</v>
      </c>
      <c r="D288" t="s">
        <v>1677</v>
      </c>
      <c r="E288" s="64">
        <v>0</v>
      </c>
      <c r="F288" s="64">
        <v>1</v>
      </c>
      <c r="G288" s="64">
        <v>1</v>
      </c>
      <c r="H288" s="64">
        <v>0</v>
      </c>
      <c r="I288" s="64">
        <v>1</v>
      </c>
      <c r="J288" s="64">
        <v>1</v>
      </c>
      <c r="K288" s="64"/>
    </row>
    <row r="289" spans="1:11">
      <c r="A289" s="64" t="s">
        <v>2029</v>
      </c>
      <c r="B289" s="64" t="s">
        <v>2108</v>
      </c>
      <c r="C289" s="64" t="s">
        <v>1527</v>
      </c>
      <c r="D289" t="s">
        <v>548</v>
      </c>
      <c r="E289" s="64">
        <v>1</v>
      </c>
      <c r="F289" s="64">
        <v>1</v>
      </c>
      <c r="G289" s="64">
        <v>0</v>
      </c>
      <c r="H289" s="64">
        <v>1</v>
      </c>
      <c r="I289" s="65">
        <v>1</v>
      </c>
      <c r="J289" s="65">
        <v>0</v>
      </c>
      <c r="K289" s="64"/>
    </row>
    <row r="290" spans="1:11">
      <c r="A290" s="64" t="s">
        <v>2029</v>
      </c>
      <c r="B290" s="64" t="s">
        <v>2108</v>
      </c>
      <c r="C290" s="64" t="s">
        <v>1527</v>
      </c>
      <c r="D290" t="s">
        <v>1689</v>
      </c>
      <c r="E290" s="64"/>
      <c r="F290" s="64"/>
      <c r="G290" s="64"/>
      <c r="H290" s="64">
        <v>1</v>
      </c>
      <c r="I290" s="67">
        <v>1</v>
      </c>
      <c r="J290" s="67">
        <v>1</v>
      </c>
      <c r="K290" s="64"/>
    </row>
    <row r="291" spans="1:11">
      <c r="A291" s="64" t="s">
        <v>2029</v>
      </c>
      <c r="B291" s="64" t="s">
        <v>2108</v>
      </c>
      <c r="C291" s="64" t="s">
        <v>1527</v>
      </c>
      <c r="D291" t="s">
        <v>1673</v>
      </c>
      <c r="E291" s="64"/>
      <c r="F291" s="64"/>
      <c r="G291" s="64"/>
      <c r="H291" s="64">
        <v>1</v>
      </c>
      <c r="I291" s="64">
        <v>0</v>
      </c>
      <c r="J291" s="64">
        <v>1</v>
      </c>
      <c r="K291" s="64"/>
    </row>
    <row r="292" spans="1:11">
      <c r="A292" s="64" t="s">
        <v>2029</v>
      </c>
      <c r="B292" s="64" t="s">
        <v>2108</v>
      </c>
      <c r="C292" s="64" t="s">
        <v>1527</v>
      </c>
      <c r="D292" t="s">
        <v>538</v>
      </c>
      <c r="E292" s="64"/>
      <c r="F292" s="64"/>
      <c r="G292" s="64"/>
      <c r="H292" s="64"/>
      <c r="I292" s="64"/>
      <c r="J292" s="64"/>
      <c r="K292" s="64"/>
    </row>
    <row r="293" spans="1:11">
      <c r="A293" s="64" t="s">
        <v>2029</v>
      </c>
      <c r="B293" s="64" t="s">
        <v>2108</v>
      </c>
      <c r="C293" s="74" t="s">
        <v>1527</v>
      </c>
      <c r="D293" t="s">
        <v>544</v>
      </c>
      <c r="E293" s="64">
        <v>1</v>
      </c>
      <c r="F293" s="64">
        <v>0</v>
      </c>
      <c r="G293" s="64">
        <v>1</v>
      </c>
      <c r="H293" s="64">
        <v>0</v>
      </c>
      <c r="I293" s="64">
        <v>0</v>
      </c>
      <c r="J293" s="64">
        <v>1</v>
      </c>
      <c r="K293" s="64"/>
    </row>
    <row r="294" spans="1:11">
      <c r="A294" s="64" t="s">
        <v>2029</v>
      </c>
      <c r="B294" s="64" t="s">
        <v>2108</v>
      </c>
      <c r="C294" s="74" t="s">
        <v>1527</v>
      </c>
      <c r="D294" t="s">
        <v>543</v>
      </c>
      <c r="E294" s="64">
        <v>1</v>
      </c>
      <c r="F294" s="64">
        <v>0</v>
      </c>
      <c r="G294" s="64">
        <v>0</v>
      </c>
      <c r="H294" s="64"/>
      <c r="I294" s="64"/>
      <c r="J294" s="64"/>
      <c r="K294" s="64"/>
    </row>
    <row r="295" spans="1:11">
      <c r="A295" s="64" t="s">
        <v>2029</v>
      </c>
      <c r="B295" s="64" t="s">
        <v>2108</v>
      </c>
      <c r="C295" s="74" t="s">
        <v>1527</v>
      </c>
      <c r="D295" t="s">
        <v>537</v>
      </c>
      <c r="E295" s="64">
        <v>1</v>
      </c>
      <c r="F295" s="64">
        <v>1</v>
      </c>
      <c r="G295" s="64">
        <v>1</v>
      </c>
      <c r="H295" s="64"/>
      <c r="I295" s="64"/>
      <c r="J295" s="64"/>
      <c r="K295" s="64"/>
    </row>
    <row r="296" spans="1:11">
      <c r="A296" s="64" t="s">
        <v>2029</v>
      </c>
      <c r="B296" s="64" t="s">
        <v>2108</v>
      </c>
      <c r="C296" s="68" t="s">
        <v>1527</v>
      </c>
      <c r="D296" t="s">
        <v>1686</v>
      </c>
      <c r="E296" s="64"/>
      <c r="F296" s="64"/>
      <c r="G296" s="64"/>
      <c r="H296" s="64"/>
      <c r="I296" s="64"/>
      <c r="J296" s="64"/>
      <c r="K296" s="64"/>
    </row>
    <row r="297" spans="1:11">
      <c r="A297" s="64" t="s">
        <v>2029</v>
      </c>
      <c r="B297" s="64" t="s">
        <v>2108</v>
      </c>
      <c r="C297" s="74" t="s">
        <v>1527</v>
      </c>
      <c r="D297" t="s">
        <v>512</v>
      </c>
      <c r="E297" s="64">
        <v>1</v>
      </c>
      <c r="F297" s="64">
        <v>1</v>
      </c>
      <c r="G297" s="65">
        <v>1</v>
      </c>
      <c r="H297" s="64"/>
      <c r="I297" s="64"/>
      <c r="J297" s="64"/>
      <c r="K297" s="64"/>
    </row>
    <row r="298" spans="1:11">
      <c r="A298" s="64" t="s">
        <v>2029</v>
      </c>
      <c r="B298" s="64" t="s">
        <v>2108</v>
      </c>
      <c r="C298" s="64" t="s">
        <v>1527</v>
      </c>
      <c r="D298" t="s">
        <v>1662</v>
      </c>
      <c r="E298" s="64"/>
      <c r="F298" s="64"/>
      <c r="G298" s="64"/>
      <c r="H298" s="64">
        <v>0</v>
      </c>
      <c r="I298" s="64">
        <v>0</v>
      </c>
      <c r="J298" s="64">
        <v>1</v>
      </c>
      <c r="K298" s="64"/>
    </row>
    <row r="299" spans="1:11">
      <c r="A299" s="64" t="s">
        <v>2029</v>
      </c>
      <c r="B299" s="64" t="s">
        <v>2108</v>
      </c>
      <c r="C299" s="64" t="s">
        <v>1527</v>
      </c>
      <c r="D299" t="s">
        <v>1680</v>
      </c>
      <c r="E299" s="64"/>
      <c r="F299" s="64"/>
      <c r="G299" s="64"/>
      <c r="H299" s="64"/>
      <c r="I299" s="64"/>
      <c r="J299" s="64"/>
      <c r="K299" s="64"/>
    </row>
    <row r="300" spans="1:11">
      <c r="A300" s="64" t="s">
        <v>2029</v>
      </c>
      <c r="B300" s="64" t="s">
        <v>2108</v>
      </c>
      <c r="C300" s="64" t="s">
        <v>1527</v>
      </c>
      <c r="D300" t="s">
        <v>1672</v>
      </c>
      <c r="E300" s="64"/>
      <c r="F300" s="64"/>
      <c r="G300" s="64"/>
      <c r="H300" s="64">
        <v>1</v>
      </c>
      <c r="I300" s="64">
        <v>0</v>
      </c>
      <c r="J300" s="64">
        <v>1</v>
      </c>
      <c r="K300" s="64"/>
    </row>
    <row r="301" spans="1:11">
      <c r="A301" s="64" t="s">
        <v>2029</v>
      </c>
      <c r="B301" s="64" t="s">
        <v>2108</v>
      </c>
      <c r="C301" s="64" t="s">
        <v>1527</v>
      </c>
      <c r="D301" t="s">
        <v>1773</v>
      </c>
      <c r="E301" s="64"/>
      <c r="F301" s="64"/>
      <c r="G301" s="64"/>
      <c r="H301" s="64"/>
      <c r="I301" s="64"/>
      <c r="J301" s="64"/>
      <c r="K301" s="64"/>
    </row>
    <row r="302" spans="1:11">
      <c r="A302" s="64" t="s">
        <v>2029</v>
      </c>
      <c r="B302" s="64" t="s">
        <v>2108</v>
      </c>
      <c r="C302" s="64" t="s">
        <v>1527</v>
      </c>
      <c r="D302" t="s">
        <v>1663</v>
      </c>
      <c r="E302" s="64"/>
      <c r="F302" s="64"/>
      <c r="G302" s="64"/>
      <c r="H302" s="64"/>
      <c r="I302" s="64"/>
      <c r="J302" s="64"/>
      <c r="K302" s="64"/>
    </row>
    <row r="303" spans="1:11">
      <c r="A303" s="64" t="s">
        <v>2029</v>
      </c>
      <c r="B303" s="64" t="s">
        <v>2108</v>
      </c>
      <c r="C303" s="64" t="s">
        <v>1527</v>
      </c>
      <c r="D303" t="s">
        <v>587</v>
      </c>
      <c r="E303" s="64"/>
      <c r="F303" s="64"/>
      <c r="G303" s="64"/>
      <c r="H303" s="64"/>
      <c r="I303" s="64"/>
      <c r="J303" s="64"/>
      <c r="K303" s="64"/>
    </row>
    <row r="304" spans="1:11">
      <c r="A304" s="64" t="s">
        <v>2029</v>
      </c>
      <c r="B304" s="64" t="s">
        <v>2108</v>
      </c>
      <c r="C304" s="64" t="s">
        <v>1527</v>
      </c>
      <c r="D304" t="s">
        <v>546</v>
      </c>
      <c r="E304" s="64"/>
      <c r="F304" s="64"/>
      <c r="G304" s="64"/>
      <c r="H304" s="64"/>
      <c r="I304" s="64"/>
      <c r="J304" s="64"/>
      <c r="K304" s="64"/>
    </row>
    <row r="305" spans="1:11">
      <c r="A305" s="64" t="s">
        <v>2029</v>
      </c>
      <c r="B305" s="64" t="s">
        <v>2108</v>
      </c>
      <c r="C305" s="74" t="s">
        <v>1527</v>
      </c>
      <c r="D305" t="s">
        <v>540</v>
      </c>
      <c r="E305" s="64">
        <v>1</v>
      </c>
      <c r="F305" s="64">
        <v>0</v>
      </c>
      <c r="G305" s="64">
        <v>0</v>
      </c>
      <c r="H305" s="64"/>
      <c r="I305" s="64"/>
      <c r="J305" s="64"/>
      <c r="K305" s="64"/>
    </row>
    <row r="306" spans="1:11">
      <c r="A306" s="64" t="s">
        <v>2029</v>
      </c>
      <c r="B306" s="64" t="s">
        <v>2108</v>
      </c>
      <c r="C306" s="64" t="s">
        <v>1527</v>
      </c>
      <c r="D306" t="s">
        <v>1660</v>
      </c>
      <c r="E306" s="64"/>
      <c r="F306" s="64"/>
      <c r="G306" s="64"/>
      <c r="H306" s="64"/>
      <c r="I306" s="64"/>
      <c r="J306" s="64"/>
      <c r="K306" s="64"/>
    </row>
    <row r="307" spans="1:11">
      <c r="A307" s="64" t="s">
        <v>2029</v>
      </c>
      <c r="B307" s="64" t="s">
        <v>2108</v>
      </c>
      <c r="C307" s="64" t="s">
        <v>1527</v>
      </c>
      <c r="D307" t="s">
        <v>2250</v>
      </c>
      <c r="E307" s="64"/>
      <c r="F307" s="64"/>
      <c r="G307" s="64"/>
      <c r="H307" s="64"/>
      <c r="I307" s="64"/>
      <c r="J307" s="64"/>
      <c r="K307" s="64"/>
    </row>
    <row r="308" spans="1:11">
      <c r="A308" s="64" t="s">
        <v>2029</v>
      </c>
      <c r="B308" s="64" t="s">
        <v>2108</v>
      </c>
      <c r="C308" s="74" t="s">
        <v>1527</v>
      </c>
      <c r="D308" t="s">
        <v>2249</v>
      </c>
      <c r="E308" s="64">
        <v>1</v>
      </c>
      <c r="F308" s="64">
        <v>0</v>
      </c>
      <c r="G308" s="64">
        <v>0</v>
      </c>
      <c r="H308" s="64"/>
      <c r="I308" s="64"/>
      <c r="J308" s="64"/>
      <c r="K308" s="64"/>
    </row>
    <row r="309" spans="1:11">
      <c r="A309" s="64" t="s">
        <v>2029</v>
      </c>
      <c r="B309" s="64" t="s">
        <v>2108</v>
      </c>
      <c r="C309" s="64" t="s">
        <v>1527</v>
      </c>
      <c r="D309" t="s">
        <v>1681</v>
      </c>
      <c r="E309" s="64"/>
      <c r="F309" s="64"/>
      <c r="G309" s="64"/>
      <c r="H309" s="64"/>
      <c r="I309" s="64"/>
      <c r="J309" s="64"/>
      <c r="K309" s="64"/>
    </row>
    <row r="310" spans="1:11">
      <c r="A310" s="64" t="s">
        <v>2029</v>
      </c>
      <c r="B310" s="64" t="s">
        <v>2108</v>
      </c>
      <c r="C310" s="74" t="s">
        <v>1527</v>
      </c>
      <c r="D310" t="s">
        <v>553</v>
      </c>
      <c r="E310" s="64">
        <v>0</v>
      </c>
      <c r="F310" s="64">
        <v>0</v>
      </c>
      <c r="G310" s="65">
        <v>1</v>
      </c>
      <c r="H310" s="64"/>
      <c r="I310" s="64"/>
      <c r="J310" s="64"/>
      <c r="K310" s="64"/>
    </row>
    <row r="311" spans="1:11">
      <c r="A311" s="64" t="s">
        <v>2029</v>
      </c>
      <c r="B311" s="64" t="s">
        <v>2108</v>
      </c>
      <c r="C311" s="74" t="s">
        <v>1527</v>
      </c>
      <c r="D311" t="s">
        <v>527</v>
      </c>
      <c r="E311" s="64">
        <v>1</v>
      </c>
      <c r="F311" s="64">
        <v>0</v>
      </c>
      <c r="G311" s="64">
        <v>0</v>
      </c>
      <c r="H311" s="64"/>
      <c r="I311" s="64"/>
      <c r="J311" s="64"/>
      <c r="K311" s="64"/>
    </row>
    <row r="312" spans="1:11">
      <c r="A312" s="64" t="s">
        <v>2029</v>
      </c>
      <c r="B312" s="64" t="s">
        <v>2108</v>
      </c>
      <c r="C312" s="74" t="s">
        <v>1527</v>
      </c>
      <c r="D312" t="s">
        <v>511</v>
      </c>
      <c r="E312" s="64">
        <v>1</v>
      </c>
      <c r="F312" s="64">
        <v>0</v>
      </c>
      <c r="G312" s="64">
        <v>1</v>
      </c>
      <c r="H312" s="64">
        <v>1</v>
      </c>
      <c r="I312" s="64">
        <v>0</v>
      </c>
      <c r="J312" s="64">
        <v>1</v>
      </c>
      <c r="K312" s="64"/>
    </row>
    <row r="313" spans="1:11">
      <c r="A313" s="64" t="s">
        <v>2029</v>
      </c>
      <c r="B313" s="64" t="s">
        <v>2108</v>
      </c>
      <c r="C313" s="64" t="s">
        <v>1527</v>
      </c>
      <c r="D313" t="s">
        <v>1688</v>
      </c>
      <c r="E313" s="64"/>
      <c r="F313" s="64"/>
      <c r="G313" s="64"/>
      <c r="H313" s="64">
        <v>0</v>
      </c>
      <c r="I313" s="64">
        <v>1</v>
      </c>
      <c r="J313" s="64">
        <v>1</v>
      </c>
      <c r="K313" s="64"/>
    </row>
    <row r="314" spans="1:11">
      <c r="A314" s="64" t="s">
        <v>2029</v>
      </c>
      <c r="B314" s="64" t="s">
        <v>2108</v>
      </c>
      <c r="C314" s="64" t="s">
        <v>1527</v>
      </c>
      <c r="D314" t="s">
        <v>1691</v>
      </c>
      <c r="E314" s="64"/>
      <c r="F314" s="64"/>
      <c r="G314" s="64"/>
      <c r="H314" s="64"/>
      <c r="I314" s="64"/>
      <c r="J314" s="64"/>
      <c r="K314" s="64"/>
    </row>
    <row r="315" spans="1:11">
      <c r="A315" s="64" t="s">
        <v>2029</v>
      </c>
      <c r="B315" s="64" t="s">
        <v>2108</v>
      </c>
      <c r="C315" s="64" t="s">
        <v>1527</v>
      </c>
      <c r="D315" t="s">
        <v>2248</v>
      </c>
      <c r="E315" s="64"/>
      <c r="F315" s="64"/>
      <c r="G315" s="64"/>
      <c r="H315" s="64">
        <v>1</v>
      </c>
      <c r="I315" s="64">
        <v>0</v>
      </c>
      <c r="J315" s="64">
        <v>1</v>
      </c>
      <c r="K315" s="64"/>
    </row>
    <row r="316" spans="1:11">
      <c r="A316" s="64" t="s">
        <v>2029</v>
      </c>
      <c r="B316" s="64" t="s">
        <v>2108</v>
      </c>
      <c r="C316" s="64" t="s">
        <v>1527</v>
      </c>
      <c r="D316" t="s">
        <v>1776</v>
      </c>
      <c r="E316" s="64"/>
      <c r="F316" s="64"/>
      <c r="G316" s="64"/>
      <c r="H316" s="64"/>
      <c r="I316" s="64"/>
      <c r="J316" s="64"/>
      <c r="K316" s="64"/>
    </row>
    <row r="317" spans="1:11">
      <c r="A317" s="64" t="s">
        <v>2029</v>
      </c>
      <c r="B317" s="64" t="s">
        <v>2108</v>
      </c>
      <c r="C317" s="64" t="s">
        <v>1527</v>
      </c>
      <c r="D317" t="s">
        <v>1687</v>
      </c>
      <c r="E317" s="64"/>
      <c r="F317" s="64"/>
      <c r="G317" s="64"/>
      <c r="H317" s="64"/>
      <c r="I317" s="64"/>
      <c r="J317" s="64"/>
      <c r="K317" s="64"/>
    </row>
    <row r="318" spans="1:11">
      <c r="A318" s="64" t="s">
        <v>2029</v>
      </c>
      <c r="B318" s="64" t="s">
        <v>2108</v>
      </c>
      <c r="C318" s="64" t="s">
        <v>1527</v>
      </c>
      <c r="D318" t="s">
        <v>547</v>
      </c>
      <c r="E318" s="64"/>
      <c r="F318" s="64"/>
      <c r="G318" s="64"/>
      <c r="H318" s="64">
        <v>1</v>
      </c>
      <c r="I318" s="64">
        <v>0</v>
      </c>
      <c r="J318" s="64">
        <v>0</v>
      </c>
      <c r="K318" s="64"/>
    </row>
    <row r="319" spans="1:11">
      <c r="A319" s="64" t="s">
        <v>2029</v>
      </c>
      <c r="B319" s="64" t="s">
        <v>2108</v>
      </c>
      <c r="C319" s="64" t="s">
        <v>1527</v>
      </c>
      <c r="D319" t="s">
        <v>1671</v>
      </c>
      <c r="E319" s="64"/>
      <c r="F319" s="64"/>
      <c r="G319" s="64"/>
      <c r="H319" s="64">
        <v>1</v>
      </c>
      <c r="I319" s="64">
        <v>0</v>
      </c>
      <c r="J319" s="64">
        <v>1</v>
      </c>
      <c r="K319" s="64"/>
    </row>
    <row r="320" spans="1:11">
      <c r="A320" s="64" t="s">
        <v>2029</v>
      </c>
      <c r="B320" s="64" t="s">
        <v>2108</v>
      </c>
      <c r="C320" s="69" t="s">
        <v>1527</v>
      </c>
      <c r="D320" t="s">
        <v>1670</v>
      </c>
      <c r="E320" s="64"/>
      <c r="F320" s="64"/>
      <c r="G320" s="64"/>
      <c r="H320" s="64"/>
      <c r="I320" s="64"/>
      <c r="J320" s="64"/>
      <c r="K320" s="64"/>
    </row>
    <row r="321" spans="1:11">
      <c r="A321" s="64" t="s">
        <v>2029</v>
      </c>
      <c r="B321" s="64" t="s">
        <v>2108</v>
      </c>
      <c r="C321" s="64" t="s">
        <v>1527</v>
      </c>
      <c r="D321" t="s">
        <v>1682</v>
      </c>
      <c r="E321" s="64"/>
      <c r="F321" s="64"/>
      <c r="G321" s="64"/>
      <c r="H321" s="64"/>
      <c r="I321" s="64"/>
      <c r="J321" s="64"/>
      <c r="K321" s="64"/>
    </row>
    <row r="322" spans="1:11">
      <c r="A322" s="64" t="s">
        <v>2029</v>
      </c>
      <c r="B322" s="64" t="s">
        <v>2108</v>
      </c>
      <c r="C322" s="64" t="s">
        <v>1527</v>
      </c>
      <c r="D322" t="s">
        <v>2247</v>
      </c>
      <c r="E322" s="64"/>
      <c r="F322" s="64"/>
      <c r="G322" s="64"/>
      <c r="H322" s="64"/>
      <c r="I322" s="64"/>
      <c r="J322" s="64"/>
      <c r="K322" s="64"/>
    </row>
    <row r="323" spans="1:11">
      <c r="A323" s="64" t="s">
        <v>2029</v>
      </c>
      <c r="B323" s="64" t="s">
        <v>2108</v>
      </c>
      <c r="C323" s="74" t="s">
        <v>1527</v>
      </c>
      <c r="D323" t="s">
        <v>545</v>
      </c>
      <c r="E323" s="64">
        <v>1</v>
      </c>
      <c r="F323" s="64">
        <v>0</v>
      </c>
      <c r="G323" s="64">
        <v>1</v>
      </c>
      <c r="H323" s="64"/>
      <c r="I323" s="64"/>
      <c r="J323" s="64"/>
      <c r="K323" s="64"/>
    </row>
    <row r="324" spans="1:11">
      <c r="A324" s="64" t="s">
        <v>2029</v>
      </c>
      <c r="B324" s="64" t="s">
        <v>2108</v>
      </c>
      <c r="C324" s="64" t="s">
        <v>1527</v>
      </c>
      <c r="D324" t="s">
        <v>1674</v>
      </c>
      <c r="E324" s="64"/>
      <c r="F324" s="64"/>
      <c r="G324" s="64"/>
      <c r="H324" s="64"/>
      <c r="I324" s="64"/>
      <c r="J324" s="64"/>
      <c r="K324" s="64"/>
    </row>
    <row r="325" spans="1:11">
      <c r="A325" s="64" t="s">
        <v>2029</v>
      </c>
      <c r="B325" s="64" t="s">
        <v>2108</v>
      </c>
      <c r="C325" s="74" t="s">
        <v>1527</v>
      </c>
      <c r="D325" t="s">
        <v>202</v>
      </c>
      <c r="E325" s="64">
        <v>0</v>
      </c>
      <c r="F325" s="64">
        <v>0</v>
      </c>
      <c r="G325" s="64">
        <v>1</v>
      </c>
      <c r="H325" s="64"/>
      <c r="I325" s="64"/>
      <c r="J325" s="64"/>
      <c r="K325" s="64"/>
    </row>
    <row r="326" spans="1:11">
      <c r="A326" s="64" t="s">
        <v>2029</v>
      </c>
      <c r="B326" s="64" t="s">
        <v>2108</v>
      </c>
      <c r="C326" s="64" t="s">
        <v>1527</v>
      </c>
      <c r="D326" t="s">
        <v>2245</v>
      </c>
      <c r="E326" s="64"/>
      <c r="F326" s="64"/>
      <c r="G326" s="64"/>
      <c r="H326" s="64"/>
      <c r="I326" s="64"/>
      <c r="J326" s="64"/>
      <c r="K326" s="64"/>
    </row>
    <row r="327" spans="1:11">
      <c r="A327" s="64" t="s">
        <v>2029</v>
      </c>
      <c r="B327" s="64" t="s">
        <v>2108</v>
      </c>
      <c r="C327" s="64" t="s">
        <v>1527</v>
      </c>
      <c r="D327" t="s">
        <v>2246</v>
      </c>
      <c r="E327" s="64"/>
      <c r="F327" s="64"/>
      <c r="G327" s="64"/>
      <c r="H327" s="64">
        <v>0</v>
      </c>
      <c r="I327" s="64">
        <v>1</v>
      </c>
      <c r="J327" s="64">
        <v>0</v>
      </c>
      <c r="K327" s="64"/>
    </row>
    <row r="328" spans="1:11">
      <c r="A328" s="64" t="s">
        <v>2029</v>
      </c>
      <c r="B328" s="64" t="s">
        <v>2108</v>
      </c>
      <c r="C328" s="64" t="s">
        <v>1527</v>
      </c>
      <c r="D328" t="s">
        <v>1676</v>
      </c>
      <c r="E328" s="64"/>
      <c r="F328" s="64"/>
      <c r="G328" s="64"/>
      <c r="H328" s="64"/>
      <c r="I328" s="64"/>
      <c r="J328" s="64"/>
      <c r="K328" s="64"/>
    </row>
    <row r="329" spans="1:11">
      <c r="A329" s="64" t="s">
        <v>2029</v>
      </c>
      <c r="B329" s="64" t="s">
        <v>2108</v>
      </c>
      <c r="C329" s="64" t="s">
        <v>1527</v>
      </c>
      <c r="D329" t="s">
        <v>2096</v>
      </c>
      <c r="E329" s="64"/>
      <c r="F329" s="64"/>
      <c r="G329" s="64"/>
      <c r="H329" s="64"/>
      <c r="I329" s="64"/>
      <c r="J329" s="64"/>
      <c r="K329" s="64"/>
    </row>
    <row r="330" spans="1:11">
      <c r="A330" s="64" t="s">
        <v>2029</v>
      </c>
      <c r="B330" s="64" t="s">
        <v>2108</v>
      </c>
      <c r="C330" s="74" t="s">
        <v>1527</v>
      </c>
      <c r="D330" t="s">
        <v>542</v>
      </c>
      <c r="E330" s="64">
        <v>1</v>
      </c>
      <c r="F330" s="64">
        <v>0</v>
      </c>
      <c r="G330" s="64">
        <v>0</v>
      </c>
      <c r="H330" s="64">
        <v>1</v>
      </c>
      <c r="I330" s="64">
        <v>1</v>
      </c>
      <c r="J330" s="64">
        <v>0</v>
      </c>
      <c r="K330" s="64"/>
    </row>
    <row r="331" spans="1:11">
      <c r="A331" s="64" t="s">
        <v>2029</v>
      </c>
      <c r="B331" s="64" t="s">
        <v>2108</v>
      </c>
      <c r="C331" s="74" t="s">
        <v>1527</v>
      </c>
      <c r="D331" t="s">
        <v>533</v>
      </c>
      <c r="E331" s="64">
        <v>1</v>
      </c>
      <c r="F331" s="64">
        <v>0</v>
      </c>
      <c r="G331" s="64">
        <v>0</v>
      </c>
      <c r="H331" s="64"/>
      <c r="I331" s="64"/>
      <c r="J331" s="64"/>
      <c r="K331" s="64"/>
    </row>
    <row r="332" spans="1:11">
      <c r="A332" s="64" t="s">
        <v>2029</v>
      </c>
      <c r="B332" s="64" t="s">
        <v>2108</v>
      </c>
      <c r="C332" s="74" t="s">
        <v>1527</v>
      </c>
      <c r="D332" t="s">
        <v>541</v>
      </c>
      <c r="E332" s="64">
        <v>1</v>
      </c>
      <c r="F332" s="64">
        <v>0</v>
      </c>
      <c r="G332" s="64">
        <v>0</v>
      </c>
      <c r="H332" s="64"/>
      <c r="I332" s="64"/>
      <c r="J332" s="64"/>
      <c r="K332" s="64"/>
    </row>
    <row r="333" spans="1:11">
      <c r="A333" s="64" t="s">
        <v>2029</v>
      </c>
      <c r="B333" s="64" t="s">
        <v>2108</v>
      </c>
      <c r="C333" s="64" t="s">
        <v>1527</v>
      </c>
      <c r="D333" t="s">
        <v>1685</v>
      </c>
      <c r="E333" s="64"/>
      <c r="F333" s="64"/>
      <c r="G333" s="64"/>
      <c r="H333" s="64"/>
      <c r="I333" s="64"/>
      <c r="J333" s="64"/>
      <c r="K333" s="64"/>
    </row>
    <row r="334" spans="1:11">
      <c r="A334" s="64" t="s">
        <v>2029</v>
      </c>
      <c r="B334" s="64" t="s">
        <v>2108</v>
      </c>
      <c r="C334" s="64" t="s">
        <v>1527</v>
      </c>
      <c r="D334" t="s">
        <v>1667</v>
      </c>
      <c r="E334" s="64"/>
      <c r="F334" s="64"/>
      <c r="G334" s="64"/>
      <c r="H334" s="64">
        <v>1</v>
      </c>
      <c r="I334" s="64">
        <v>1</v>
      </c>
      <c r="J334" s="64">
        <v>1</v>
      </c>
      <c r="K334" s="64"/>
    </row>
    <row r="335" spans="1:11">
      <c r="A335" s="64" t="s">
        <v>2029</v>
      </c>
      <c r="B335" s="64" t="s">
        <v>2108</v>
      </c>
      <c r="C335" s="64" t="s">
        <v>1527</v>
      </c>
      <c r="D335" t="s">
        <v>1666</v>
      </c>
      <c r="E335" s="64"/>
      <c r="F335" s="64"/>
      <c r="G335" s="64"/>
      <c r="H335" s="64">
        <v>1</v>
      </c>
      <c r="I335" s="64">
        <v>0</v>
      </c>
      <c r="J335" s="64">
        <v>1</v>
      </c>
      <c r="K335" s="64"/>
    </row>
    <row r="336" spans="1:11">
      <c r="A336" s="64" t="s">
        <v>2029</v>
      </c>
      <c r="B336" s="64" t="s">
        <v>2108</v>
      </c>
      <c r="C336" s="64" t="s">
        <v>1527</v>
      </c>
      <c r="D336" t="s">
        <v>1665</v>
      </c>
      <c r="E336" s="64"/>
      <c r="F336" s="64"/>
      <c r="G336" s="64"/>
      <c r="H336" s="64">
        <v>1</v>
      </c>
      <c r="I336" s="64">
        <v>0</v>
      </c>
      <c r="J336" s="64">
        <v>1</v>
      </c>
      <c r="K336" s="64"/>
    </row>
    <row r="337" spans="1:11">
      <c r="A337" s="64" t="s">
        <v>2029</v>
      </c>
      <c r="B337" s="64" t="s">
        <v>2108</v>
      </c>
      <c r="C337" s="64" t="s">
        <v>1527</v>
      </c>
      <c r="D337" t="s">
        <v>1690</v>
      </c>
      <c r="E337" s="64"/>
      <c r="F337" s="64"/>
      <c r="G337" s="64"/>
      <c r="H337" s="64"/>
      <c r="I337" s="64"/>
      <c r="J337" s="64"/>
      <c r="K337" s="64"/>
    </row>
    <row r="338" spans="1:11">
      <c r="A338" s="64" t="s">
        <v>2029</v>
      </c>
      <c r="B338" s="64" t="s">
        <v>2108</v>
      </c>
      <c r="C338" s="64" t="s">
        <v>1527</v>
      </c>
      <c r="D338" t="s">
        <v>1668</v>
      </c>
      <c r="E338" s="64"/>
      <c r="F338" s="64"/>
      <c r="G338" s="64"/>
      <c r="H338" s="64"/>
      <c r="I338" s="64"/>
      <c r="J338" s="64"/>
      <c r="K338" s="64"/>
    </row>
    <row r="339" spans="1:11">
      <c r="A339" s="64" t="s">
        <v>2030</v>
      </c>
      <c r="B339" s="64" t="s">
        <v>2107</v>
      </c>
      <c r="C339" s="64" t="s">
        <v>1548</v>
      </c>
      <c r="D339" t="s">
        <v>650</v>
      </c>
      <c r="E339" s="64">
        <v>0</v>
      </c>
      <c r="F339" s="64">
        <v>0</v>
      </c>
      <c r="G339" s="64">
        <v>0</v>
      </c>
      <c r="H339" s="64">
        <v>0</v>
      </c>
      <c r="I339" s="64">
        <v>0</v>
      </c>
      <c r="J339" s="64">
        <v>0</v>
      </c>
      <c r="K339" s="64"/>
    </row>
    <row r="340" spans="1:11">
      <c r="A340" s="64" t="s">
        <v>2030</v>
      </c>
      <c r="B340" s="64" t="s">
        <v>2107</v>
      </c>
      <c r="C340" s="64" t="s">
        <v>1548</v>
      </c>
      <c r="D340" t="s">
        <v>2105</v>
      </c>
      <c r="E340" s="64">
        <v>1</v>
      </c>
      <c r="F340" s="64">
        <v>0</v>
      </c>
      <c r="G340" s="64">
        <v>0</v>
      </c>
      <c r="H340" s="64">
        <v>0</v>
      </c>
      <c r="I340" s="64">
        <v>1</v>
      </c>
      <c r="J340" s="64">
        <v>0</v>
      </c>
      <c r="K340" s="64"/>
    </row>
    <row r="341" spans="1:11">
      <c r="A341" s="64" t="s">
        <v>2030</v>
      </c>
      <c r="B341" s="64" t="s">
        <v>2107</v>
      </c>
      <c r="C341" s="64" t="s">
        <v>1548</v>
      </c>
      <c r="D341" t="s">
        <v>661</v>
      </c>
      <c r="E341" s="64">
        <v>1</v>
      </c>
      <c r="F341" s="64">
        <v>0</v>
      </c>
      <c r="G341" s="64">
        <v>1</v>
      </c>
      <c r="H341" s="64">
        <v>1</v>
      </c>
      <c r="I341" s="64">
        <v>0</v>
      </c>
      <c r="J341" s="64">
        <v>0</v>
      </c>
      <c r="K341" s="64" t="s">
        <v>1794</v>
      </c>
    </row>
    <row r="342" spans="1:11">
      <c r="A342" s="64" t="s">
        <v>2027</v>
      </c>
      <c r="B342" s="64" t="s">
        <v>2107</v>
      </c>
      <c r="C342" s="64" t="s">
        <v>1548</v>
      </c>
      <c r="D342" t="s">
        <v>2251</v>
      </c>
    </row>
    <row r="343" spans="1:11">
      <c r="A343" s="64" t="s">
        <v>2027</v>
      </c>
      <c r="B343" s="64" t="s">
        <v>2107</v>
      </c>
      <c r="C343" s="64" t="s">
        <v>1548</v>
      </c>
      <c r="D343" t="s">
        <v>2145</v>
      </c>
    </row>
    <row r="344" spans="1:11">
      <c r="A344" s="64" t="s">
        <v>2027</v>
      </c>
      <c r="B344" s="64" t="s">
        <v>2107</v>
      </c>
      <c r="C344" s="64" t="s">
        <v>1548</v>
      </c>
      <c r="D344" t="s">
        <v>2151</v>
      </c>
    </row>
    <row r="345" spans="1:11">
      <c r="A345" s="64" t="s">
        <v>2027</v>
      </c>
      <c r="B345" s="64" t="s">
        <v>2107</v>
      </c>
      <c r="C345" s="64" t="s">
        <v>1548</v>
      </c>
      <c r="D345" t="s">
        <v>2157</v>
      </c>
    </row>
    <row r="346" spans="1:11">
      <c r="A346" s="64" t="s">
        <v>2030</v>
      </c>
      <c r="B346" s="64" t="s">
        <v>2107</v>
      </c>
      <c r="C346" s="64" t="s">
        <v>1548</v>
      </c>
      <c r="D346" t="s">
        <v>653</v>
      </c>
      <c r="E346" s="64">
        <v>1</v>
      </c>
      <c r="F346" s="64">
        <v>1</v>
      </c>
      <c r="G346" s="64">
        <v>0</v>
      </c>
      <c r="H346" s="64">
        <v>1</v>
      </c>
      <c r="I346" s="64">
        <v>0</v>
      </c>
      <c r="J346" s="64">
        <v>0</v>
      </c>
      <c r="K346" s="64"/>
    </row>
    <row r="347" spans="1:11">
      <c r="A347" s="65" t="s">
        <v>2028</v>
      </c>
      <c r="B347" s="64" t="s">
        <v>2107</v>
      </c>
      <c r="C347" t="s">
        <v>1548</v>
      </c>
      <c r="D347" t="s">
        <v>2235</v>
      </c>
    </row>
    <row r="348" spans="1:11">
      <c r="A348" s="64" t="s">
        <v>2027</v>
      </c>
      <c r="B348" s="64" t="s">
        <v>2107</v>
      </c>
      <c r="C348" s="64" t="s">
        <v>1548</v>
      </c>
      <c r="D348" t="s">
        <v>2148</v>
      </c>
    </row>
    <row r="349" spans="1:11">
      <c r="A349" s="64" t="s">
        <v>2027</v>
      </c>
      <c r="B349" s="64" t="s">
        <v>2107</v>
      </c>
      <c r="C349" s="64" t="s">
        <v>1548</v>
      </c>
      <c r="D349" t="s">
        <v>2134</v>
      </c>
    </row>
    <row r="350" spans="1:11">
      <c r="A350" s="65" t="s">
        <v>2030</v>
      </c>
      <c r="B350" s="64" t="s">
        <v>2107</v>
      </c>
      <c r="C350" s="64" t="s">
        <v>1548</v>
      </c>
      <c r="D350" t="s">
        <v>2201</v>
      </c>
    </row>
    <row r="351" spans="1:11">
      <c r="A351" s="64" t="s">
        <v>2027</v>
      </c>
      <c r="B351" s="64" t="s">
        <v>2107</v>
      </c>
      <c r="C351" s="64" t="s">
        <v>1548</v>
      </c>
      <c r="D351" t="s">
        <v>2152</v>
      </c>
    </row>
    <row r="352" spans="1:11">
      <c r="A352" s="65" t="s">
        <v>2030</v>
      </c>
      <c r="B352" s="64" t="s">
        <v>2107</v>
      </c>
      <c r="C352" s="64" t="s">
        <v>1548</v>
      </c>
      <c r="D352" t="s">
        <v>2203</v>
      </c>
    </row>
    <row r="353" spans="1:11">
      <c r="A353" s="64" t="s">
        <v>2027</v>
      </c>
      <c r="B353" s="64" t="s">
        <v>2107</v>
      </c>
      <c r="C353" s="64" t="s">
        <v>1548</v>
      </c>
      <c r="D353" t="s">
        <v>2155</v>
      </c>
    </row>
    <row r="354" spans="1:11">
      <c r="A354" s="65" t="s">
        <v>2030</v>
      </c>
      <c r="B354" s="64" t="s">
        <v>2107</v>
      </c>
      <c r="C354" s="64" t="s">
        <v>1548</v>
      </c>
      <c r="D354" t="s">
        <v>2197</v>
      </c>
    </row>
    <row r="355" spans="1:11">
      <c r="A355" s="64" t="s">
        <v>2030</v>
      </c>
      <c r="B355" s="64" t="s">
        <v>2107</v>
      </c>
      <c r="C355" s="64" t="s">
        <v>1548</v>
      </c>
      <c r="D355" t="s">
        <v>649</v>
      </c>
      <c r="E355" s="64">
        <v>0</v>
      </c>
      <c r="F355" s="64">
        <v>0</v>
      </c>
      <c r="G355" s="64">
        <v>0</v>
      </c>
      <c r="H355" s="64"/>
      <c r="I355" s="64"/>
      <c r="J355" s="64"/>
      <c r="K355" s="64"/>
    </row>
    <row r="356" spans="1:11">
      <c r="A356" s="65" t="s">
        <v>2030</v>
      </c>
      <c r="B356" s="64" t="s">
        <v>2107</v>
      </c>
      <c r="C356" s="64" t="s">
        <v>1548</v>
      </c>
      <c r="D356" t="s">
        <v>2193</v>
      </c>
    </row>
    <row r="357" spans="1:11">
      <c r="A357" s="64" t="s">
        <v>2027</v>
      </c>
      <c r="B357" s="64" t="s">
        <v>2107</v>
      </c>
      <c r="C357" s="64" t="s">
        <v>1548</v>
      </c>
      <c r="D357" t="s">
        <v>2163</v>
      </c>
    </row>
    <row r="358" spans="1:11">
      <c r="A358" s="64" t="s">
        <v>2027</v>
      </c>
      <c r="B358" s="64" t="s">
        <v>2107</v>
      </c>
      <c r="C358" s="64" t="s">
        <v>1548</v>
      </c>
      <c r="D358" t="s">
        <v>2162</v>
      </c>
    </row>
    <row r="359" spans="1:11">
      <c r="A359" s="65" t="s">
        <v>2028</v>
      </c>
      <c r="B359" s="64" t="s">
        <v>2107</v>
      </c>
      <c r="C359" t="s">
        <v>1548</v>
      </c>
      <c r="D359" t="s">
        <v>2252</v>
      </c>
    </row>
    <row r="360" spans="1:11">
      <c r="A360" s="64" t="s">
        <v>2027</v>
      </c>
      <c r="B360" s="64" t="s">
        <v>2107</v>
      </c>
      <c r="C360" s="64" t="s">
        <v>1548</v>
      </c>
      <c r="D360" t="s">
        <v>2160</v>
      </c>
    </row>
    <row r="361" spans="1:11">
      <c r="A361" s="64" t="s">
        <v>2027</v>
      </c>
      <c r="B361" s="64" t="s">
        <v>2107</v>
      </c>
      <c r="C361" s="64" t="s">
        <v>1548</v>
      </c>
      <c r="D361" t="s">
        <v>2135</v>
      </c>
    </row>
    <row r="362" spans="1:11">
      <c r="A362" s="64" t="s">
        <v>2027</v>
      </c>
      <c r="B362" s="64" t="s">
        <v>2107</v>
      </c>
      <c r="C362" s="64" t="s">
        <v>1548</v>
      </c>
      <c r="D362" t="s">
        <v>2156</v>
      </c>
    </row>
    <row r="363" spans="1:11">
      <c r="A363" s="64" t="s">
        <v>2027</v>
      </c>
      <c r="B363" s="64" t="s">
        <v>2107</v>
      </c>
      <c r="C363" s="64" t="s">
        <v>1548</v>
      </c>
      <c r="D363" t="s">
        <v>2150</v>
      </c>
    </row>
    <row r="364" spans="1:11">
      <c r="A364" s="64" t="s">
        <v>2027</v>
      </c>
      <c r="B364" s="64" t="s">
        <v>2107</v>
      </c>
      <c r="C364" s="64" t="s">
        <v>1548</v>
      </c>
      <c r="D364" t="s">
        <v>2161</v>
      </c>
    </row>
    <row r="365" spans="1:11">
      <c r="A365" s="64" t="s">
        <v>2027</v>
      </c>
      <c r="B365" s="64" t="s">
        <v>2107</v>
      </c>
      <c r="C365" s="64" t="s">
        <v>1548</v>
      </c>
      <c r="D365" t="s">
        <v>2190</v>
      </c>
    </row>
    <row r="366" spans="1:11">
      <c r="A366" s="65" t="s">
        <v>2030</v>
      </c>
      <c r="B366" s="64" t="s">
        <v>2107</v>
      </c>
      <c r="C366" s="64" t="s">
        <v>1548</v>
      </c>
      <c r="D366" t="s">
        <v>2198</v>
      </c>
    </row>
    <row r="367" spans="1:11">
      <c r="A367" s="64" t="s">
        <v>2030</v>
      </c>
      <c r="B367" s="64" t="s">
        <v>2107</v>
      </c>
      <c r="C367" s="64" t="s">
        <v>1548</v>
      </c>
      <c r="D367" t="s">
        <v>1861</v>
      </c>
      <c r="E367" s="64"/>
      <c r="F367" s="64"/>
      <c r="G367" s="64"/>
      <c r="H367" s="64"/>
      <c r="I367" s="64"/>
      <c r="J367" s="64"/>
      <c r="K367" s="64"/>
    </row>
    <row r="368" spans="1:11">
      <c r="A368" s="64" t="s">
        <v>2027</v>
      </c>
      <c r="B368" s="64" t="s">
        <v>2107</v>
      </c>
      <c r="C368" s="64" t="s">
        <v>1548</v>
      </c>
      <c r="D368" t="s">
        <v>2186</v>
      </c>
    </row>
    <row r="369" spans="1:11">
      <c r="A369" s="64" t="s">
        <v>2027</v>
      </c>
      <c r="B369" s="64" t="s">
        <v>2107</v>
      </c>
      <c r="C369" s="64" t="s">
        <v>1548</v>
      </c>
      <c r="D369" t="s">
        <v>2187</v>
      </c>
    </row>
    <row r="370" spans="1:11">
      <c r="A370" s="64" t="s">
        <v>2027</v>
      </c>
      <c r="B370" s="64" t="s">
        <v>2107</v>
      </c>
      <c r="C370" s="64" t="s">
        <v>1548</v>
      </c>
      <c r="D370" t="s">
        <v>2144</v>
      </c>
    </row>
    <row r="371" spans="1:11">
      <c r="A371" s="64" t="s">
        <v>2027</v>
      </c>
      <c r="B371" s="64" t="s">
        <v>2107</v>
      </c>
      <c r="C371" s="64" t="s">
        <v>1548</v>
      </c>
      <c r="D371" t="s">
        <v>2141</v>
      </c>
    </row>
    <row r="372" spans="1:11">
      <c r="A372" s="64" t="s">
        <v>2027</v>
      </c>
      <c r="B372" s="64" t="s">
        <v>2107</v>
      </c>
      <c r="C372" s="64" t="s">
        <v>1548</v>
      </c>
      <c r="D372" t="s">
        <v>2142</v>
      </c>
    </row>
    <row r="373" spans="1:11">
      <c r="A373" s="65" t="s">
        <v>2030</v>
      </c>
      <c r="B373" s="64" t="s">
        <v>2107</v>
      </c>
      <c r="C373" s="64" t="s">
        <v>1548</v>
      </c>
      <c r="D373" t="s">
        <v>2195</v>
      </c>
    </row>
    <row r="374" spans="1:11">
      <c r="A374" s="64" t="s">
        <v>2030</v>
      </c>
      <c r="B374" s="64" t="s">
        <v>2107</v>
      </c>
      <c r="C374" s="64" t="s">
        <v>1548</v>
      </c>
      <c r="D374" t="s">
        <v>648</v>
      </c>
      <c r="E374" s="64">
        <v>0</v>
      </c>
      <c r="F374" s="64">
        <v>0</v>
      </c>
      <c r="G374" s="64">
        <v>1</v>
      </c>
      <c r="H374" s="64"/>
      <c r="I374" s="64"/>
      <c r="J374" s="64"/>
      <c r="K374" s="64"/>
    </row>
    <row r="375" spans="1:11">
      <c r="A375" s="64" t="s">
        <v>2030</v>
      </c>
      <c r="B375" s="64" t="s">
        <v>2107</v>
      </c>
      <c r="C375" s="64" t="s">
        <v>1548</v>
      </c>
      <c r="D375" t="s">
        <v>651</v>
      </c>
      <c r="E375" s="64"/>
      <c r="F375" s="64"/>
      <c r="G375" s="64"/>
      <c r="H375" s="64"/>
      <c r="I375" s="64"/>
      <c r="J375" s="64"/>
      <c r="K375" s="64"/>
    </row>
    <row r="376" spans="1:11">
      <c r="A376" s="65" t="s">
        <v>2030</v>
      </c>
      <c r="B376" s="64" t="s">
        <v>2107</v>
      </c>
      <c r="C376" s="64" t="s">
        <v>1548</v>
      </c>
      <c r="D376" t="s">
        <v>2194</v>
      </c>
    </row>
    <row r="377" spans="1:11">
      <c r="A377" s="64" t="s">
        <v>2027</v>
      </c>
      <c r="B377" s="64" t="s">
        <v>2107</v>
      </c>
      <c r="C377" s="64" t="s">
        <v>1548</v>
      </c>
      <c r="D377" t="s">
        <v>2154</v>
      </c>
    </row>
    <row r="378" spans="1:11">
      <c r="A378" s="64" t="s">
        <v>2027</v>
      </c>
      <c r="B378" s="64" t="s">
        <v>2107</v>
      </c>
      <c r="C378" s="64" t="s">
        <v>1548</v>
      </c>
      <c r="D378" t="s">
        <v>2149</v>
      </c>
    </row>
    <row r="379" spans="1:11">
      <c r="A379" s="65" t="s">
        <v>2030</v>
      </c>
      <c r="B379" s="64" t="s">
        <v>2107</v>
      </c>
      <c r="C379" s="64" t="s">
        <v>1548</v>
      </c>
      <c r="D379" t="s">
        <v>2199</v>
      </c>
    </row>
    <row r="380" spans="1:11">
      <c r="A380" s="64" t="s">
        <v>2027</v>
      </c>
      <c r="B380" s="64" t="s">
        <v>2107</v>
      </c>
      <c r="C380" s="64" t="s">
        <v>1548</v>
      </c>
      <c r="D380" t="s">
        <v>2139</v>
      </c>
    </row>
    <row r="381" spans="1:11">
      <c r="A381" s="64" t="s">
        <v>2027</v>
      </c>
      <c r="B381" s="64" t="s">
        <v>2107</v>
      </c>
      <c r="C381" s="64" t="s">
        <v>1548</v>
      </c>
      <c r="D381" t="s">
        <v>2153</v>
      </c>
    </row>
    <row r="382" spans="1:11">
      <c r="A382" s="64" t="s">
        <v>2027</v>
      </c>
      <c r="B382" s="64" t="s">
        <v>2107</v>
      </c>
      <c r="C382" s="64" t="s">
        <v>1548</v>
      </c>
      <c r="D382" t="s">
        <v>2158</v>
      </c>
    </row>
    <row r="383" spans="1:11">
      <c r="A383" s="64" t="s">
        <v>2030</v>
      </c>
      <c r="B383" s="64" t="s">
        <v>2107</v>
      </c>
      <c r="C383" s="64" t="s">
        <v>1548</v>
      </c>
      <c r="D383" t="s">
        <v>1941</v>
      </c>
      <c r="E383" s="64"/>
      <c r="F383" s="64"/>
      <c r="G383" s="64"/>
      <c r="H383" s="64">
        <v>0</v>
      </c>
      <c r="I383" s="64">
        <v>1</v>
      </c>
      <c r="J383" s="64">
        <v>0</v>
      </c>
      <c r="K383" s="64"/>
    </row>
    <row r="384" spans="1:11">
      <c r="A384" s="65" t="s">
        <v>2030</v>
      </c>
      <c r="B384" s="64" t="s">
        <v>2107</v>
      </c>
      <c r="C384" s="64" t="s">
        <v>1548</v>
      </c>
      <c r="D384" t="s">
        <v>2202</v>
      </c>
    </row>
    <row r="385" spans="1:11">
      <c r="A385" s="64" t="s">
        <v>2030</v>
      </c>
      <c r="B385" s="64" t="s">
        <v>2107</v>
      </c>
      <c r="C385" s="64" t="s">
        <v>1548</v>
      </c>
      <c r="D385" t="s">
        <v>2103</v>
      </c>
    </row>
    <row r="386" spans="1:11">
      <c r="A386" s="64" t="s">
        <v>2027</v>
      </c>
      <c r="B386" s="64" t="s">
        <v>2107</v>
      </c>
      <c r="C386" s="64" t="s">
        <v>1548</v>
      </c>
      <c r="D386" t="s">
        <v>574</v>
      </c>
    </row>
    <row r="387" spans="1:11">
      <c r="A387" s="64" t="s">
        <v>2030</v>
      </c>
      <c r="B387" s="64" t="s">
        <v>2107</v>
      </c>
      <c r="C387" s="64" t="s">
        <v>1548</v>
      </c>
      <c r="D387" t="s">
        <v>647</v>
      </c>
      <c r="E387" s="64"/>
      <c r="F387" s="64"/>
      <c r="G387" s="64"/>
      <c r="H387" s="64"/>
      <c r="I387" s="64"/>
      <c r="J387" s="64"/>
      <c r="K387" s="64"/>
    </row>
    <row r="388" spans="1:11">
      <c r="A388" s="64" t="s">
        <v>2030</v>
      </c>
      <c r="B388" s="64" t="s">
        <v>2107</v>
      </c>
      <c r="C388" s="64" t="s">
        <v>1548</v>
      </c>
      <c r="D388" t="s">
        <v>652</v>
      </c>
      <c r="E388" s="64"/>
      <c r="F388" s="64"/>
      <c r="G388" s="64"/>
      <c r="H388" s="64">
        <v>1</v>
      </c>
      <c r="I388" s="64">
        <v>0</v>
      </c>
      <c r="J388" s="64">
        <v>0</v>
      </c>
      <c r="K388" s="64"/>
    </row>
    <row r="389" spans="1:11">
      <c r="A389" s="64" t="s">
        <v>2030</v>
      </c>
      <c r="B389" s="64" t="s">
        <v>2107</v>
      </c>
      <c r="C389" s="64" t="s">
        <v>1548</v>
      </c>
      <c r="D389" t="s">
        <v>1971</v>
      </c>
      <c r="E389" s="64"/>
      <c r="F389" s="64"/>
      <c r="G389" s="64"/>
      <c r="H389" s="64">
        <v>1</v>
      </c>
      <c r="I389" s="64">
        <v>1</v>
      </c>
      <c r="J389" s="64">
        <v>0</v>
      </c>
      <c r="K389" s="64"/>
    </row>
    <row r="390" spans="1:11">
      <c r="A390" s="64" t="s">
        <v>2027</v>
      </c>
      <c r="B390" s="64" t="s">
        <v>2107</v>
      </c>
      <c r="C390" s="64" t="s">
        <v>1548</v>
      </c>
      <c r="D390" t="s">
        <v>2159</v>
      </c>
    </row>
    <row r="391" spans="1:11">
      <c r="A391" s="64" t="s">
        <v>2027</v>
      </c>
      <c r="B391" s="64" t="s">
        <v>2107</v>
      </c>
      <c r="C391" s="64" t="s">
        <v>1548</v>
      </c>
      <c r="D391" t="s">
        <v>2189</v>
      </c>
    </row>
    <row r="392" spans="1:11">
      <c r="A392" s="64" t="s">
        <v>2027</v>
      </c>
      <c r="B392" s="64" t="s">
        <v>2107</v>
      </c>
      <c r="C392" s="64" t="s">
        <v>1548</v>
      </c>
      <c r="D392" t="s">
        <v>2188</v>
      </c>
    </row>
    <row r="393" spans="1:11">
      <c r="A393" s="65" t="s">
        <v>2030</v>
      </c>
      <c r="B393" s="64" t="s">
        <v>2107</v>
      </c>
      <c r="C393" s="64" t="s">
        <v>1548</v>
      </c>
      <c r="D393" t="s">
        <v>2196</v>
      </c>
    </row>
    <row r="394" spans="1:11">
      <c r="A394" s="64" t="s">
        <v>2030</v>
      </c>
      <c r="B394" s="64" t="s">
        <v>2107</v>
      </c>
      <c r="C394" s="64" t="s">
        <v>1548</v>
      </c>
      <c r="D394" t="s">
        <v>1994</v>
      </c>
      <c r="E394" s="64"/>
      <c r="F394" s="64"/>
      <c r="G394" s="64"/>
      <c r="H394" s="64"/>
      <c r="I394" s="64"/>
      <c r="J394" s="64"/>
      <c r="K394" s="64"/>
    </row>
    <row r="395" spans="1:11">
      <c r="A395" s="64" t="s">
        <v>2027</v>
      </c>
      <c r="B395" s="64" t="s">
        <v>2107</v>
      </c>
      <c r="C395" s="64" t="s">
        <v>1548</v>
      </c>
      <c r="D395" t="s">
        <v>2147</v>
      </c>
    </row>
    <row r="396" spans="1:11">
      <c r="A396" s="65" t="s">
        <v>2030</v>
      </c>
      <c r="B396" s="64" t="s">
        <v>2107</v>
      </c>
      <c r="C396" s="64" t="s">
        <v>1548</v>
      </c>
      <c r="D396" t="s">
        <v>2204</v>
      </c>
    </row>
    <row r="397" spans="1:11">
      <c r="A397" s="65" t="s">
        <v>2030</v>
      </c>
      <c r="B397" s="64" t="s">
        <v>2107</v>
      </c>
      <c r="C397" s="64" t="s">
        <v>1548</v>
      </c>
      <c r="D397" t="s">
        <v>2200</v>
      </c>
    </row>
    <row r="398" spans="1:11">
      <c r="A398" s="64" t="s">
        <v>2027</v>
      </c>
      <c r="B398" s="64" t="s">
        <v>2107</v>
      </c>
      <c r="C398" s="64" t="s">
        <v>1548</v>
      </c>
      <c r="D398" t="s">
        <v>2136</v>
      </c>
    </row>
    <row r="399" spans="1:11">
      <c r="A399" s="64" t="s">
        <v>2027</v>
      </c>
      <c r="B399" s="64" t="s">
        <v>2107</v>
      </c>
      <c r="C399" s="64" t="s">
        <v>1548</v>
      </c>
      <c r="D399" t="s">
        <v>2146</v>
      </c>
    </row>
    <row r="400" spans="1:11">
      <c r="A400" s="64" t="s">
        <v>2027</v>
      </c>
      <c r="B400" s="64" t="s">
        <v>2107</v>
      </c>
      <c r="C400" s="64" t="s">
        <v>1548</v>
      </c>
      <c r="D400" t="s">
        <v>2143</v>
      </c>
    </row>
    <row r="401" spans="1:11">
      <c r="A401" s="64" t="s">
        <v>2027</v>
      </c>
      <c r="B401" s="64" t="s">
        <v>2107</v>
      </c>
      <c r="C401" s="64" t="s">
        <v>1548</v>
      </c>
      <c r="D401" t="s">
        <v>2140</v>
      </c>
    </row>
    <row r="402" spans="1:11">
      <c r="A402" s="65" t="s">
        <v>2028</v>
      </c>
      <c r="B402" s="64" t="s">
        <v>2107</v>
      </c>
      <c r="C402" t="s">
        <v>1277</v>
      </c>
      <c r="D402" t="s">
        <v>2239</v>
      </c>
    </row>
    <row r="403" spans="1:11">
      <c r="A403" s="65" t="s">
        <v>2028</v>
      </c>
      <c r="B403" s="64" t="s">
        <v>2107</v>
      </c>
      <c r="C403" s="65" t="s">
        <v>1277</v>
      </c>
      <c r="D403" t="s">
        <v>1633</v>
      </c>
      <c r="E403" s="64">
        <v>1</v>
      </c>
      <c r="F403" s="64">
        <v>1</v>
      </c>
      <c r="G403" s="64">
        <v>0</v>
      </c>
      <c r="H403" s="64">
        <v>0</v>
      </c>
      <c r="I403" s="64">
        <v>1</v>
      </c>
      <c r="J403" s="64">
        <v>0</v>
      </c>
      <c r="K403" s="64"/>
    </row>
    <row r="404" spans="1:11">
      <c r="A404" s="65" t="s">
        <v>2028</v>
      </c>
      <c r="B404" s="64" t="s">
        <v>2107</v>
      </c>
      <c r="C404" s="65" t="s">
        <v>1277</v>
      </c>
      <c r="D404" t="s">
        <v>618</v>
      </c>
      <c r="E404" s="64">
        <v>1</v>
      </c>
      <c r="F404" s="64">
        <v>1</v>
      </c>
      <c r="G404" s="64">
        <v>1</v>
      </c>
      <c r="H404" s="64"/>
      <c r="I404" s="64"/>
      <c r="J404" s="64"/>
      <c r="K404" s="64"/>
    </row>
    <row r="405" spans="1:11">
      <c r="A405" s="65" t="s">
        <v>2028</v>
      </c>
      <c r="B405" s="64" t="s">
        <v>2107</v>
      </c>
      <c r="C405" s="65" t="s">
        <v>1277</v>
      </c>
      <c r="D405" t="s">
        <v>1647</v>
      </c>
      <c r="E405" s="64">
        <v>1</v>
      </c>
      <c r="F405" s="64">
        <v>0</v>
      </c>
      <c r="G405" s="64">
        <v>0</v>
      </c>
      <c r="H405" s="64"/>
      <c r="I405" s="64"/>
      <c r="J405" s="64"/>
      <c r="K405" s="64"/>
    </row>
    <row r="406" spans="1:11">
      <c r="A406" s="65" t="s">
        <v>2028</v>
      </c>
      <c r="B406" s="64" t="s">
        <v>2107</v>
      </c>
      <c r="C406" s="64" t="s">
        <v>1277</v>
      </c>
      <c r="D406" t="s">
        <v>638</v>
      </c>
      <c r="E406" s="64"/>
      <c r="F406" s="64"/>
      <c r="G406" s="64"/>
      <c r="H406" s="64"/>
      <c r="I406" s="64"/>
      <c r="J406" s="64"/>
      <c r="K406" s="64"/>
    </row>
    <row r="407" spans="1:11">
      <c r="A407" s="65" t="s">
        <v>2028</v>
      </c>
      <c r="B407" s="64" t="s">
        <v>2107</v>
      </c>
      <c r="C407" s="65" t="s">
        <v>1277</v>
      </c>
      <c r="D407" t="s">
        <v>1634</v>
      </c>
      <c r="E407" s="64"/>
      <c r="F407" s="64"/>
      <c r="G407" s="64"/>
      <c r="H407" s="64">
        <v>1</v>
      </c>
      <c r="I407" s="64">
        <v>1</v>
      </c>
      <c r="J407" s="64">
        <v>0</v>
      </c>
      <c r="K407" s="64"/>
    </row>
    <row r="408" spans="1:11">
      <c r="A408" s="65" t="s">
        <v>2028</v>
      </c>
      <c r="B408" s="64" t="s">
        <v>2107</v>
      </c>
      <c r="C408" s="65" t="s">
        <v>1277</v>
      </c>
      <c r="D408" t="s">
        <v>1635</v>
      </c>
      <c r="E408" s="64"/>
      <c r="F408" s="64"/>
      <c r="G408" s="64"/>
      <c r="H408" s="64"/>
      <c r="I408" s="64"/>
      <c r="J408" s="64"/>
      <c r="K408" s="64"/>
    </row>
    <row r="409" spans="1:11">
      <c r="A409" s="65" t="s">
        <v>2028</v>
      </c>
      <c r="B409" s="64" t="s">
        <v>2107</v>
      </c>
      <c r="C409" s="64" t="s">
        <v>1277</v>
      </c>
      <c r="D409" t="s">
        <v>2223</v>
      </c>
    </row>
    <row r="410" spans="1:11">
      <c r="A410" s="65" t="s">
        <v>2028</v>
      </c>
      <c r="B410" s="64" t="s">
        <v>2107</v>
      </c>
      <c r="C410" s="65" t="s">
        <v>1277</v>
      </c>
      <c r="D410" t="s">
        <v>604</v>
      </c>
      <c r="E410" s="64">
        <v>1</v>
      </c>
      <c r="F410" s="64">
        <v>0</v>
      </c>
      <c r="G410" s="64">
        <v>1</v>
      </c>
      <c r="H410" s="64"/>
      <c r="I410" s="64"/>
      <c r="J410" s="64"/>
      <c r="K410" s="64"/>
    </row>
    <row r="411" spans="1:11">
      <c r="A411" s="65" t="s">
        <v>2028</v>
      </c>
      <c r="B411" s="64" t="s">
        <v>2107</v>
      </c>
      <c r="C411" s="65" t="s">
        <v>1277</v>
      </c>
      <c r="D411" t="s">
        <v>1648</v>
      </c>
      <c r="E411" s="64"/>
      <c r="F411" s="64"/>
      <c r="G411" s="64"/>
      <c r="H411" s="64"/>
      <c r="I411" s="64"/>
      <c r="J411" s="64"/>
      <c r="K411" s="64"/>
    </row>
    <row r="412" spans="1:11">
      <c r="A412" s="65" t="s">
        <v>2028</v>
      </c>
      <c r="B412" s="64" t="s">
        <v>2107</v>
      </c>
      <c r="C412" s="65" t="s">
        <v>1277</v>
      </c>
      <c r="D412" t="s">
        <v>617</v>
      </c>
      <c r="E412" s="64">
        <v>1</v>
      </c>
      <c r="F412" s="64">
        <v>0</v>
      </c>
      <c r="G412" s="64">
        <v>1</v>
      </c>
      <c r="H412" s="64">
        <v>1</v>
      </c>
      <c r="I412" s="64">
        <v>0</v>
      </c>
      <c r="J412" s="64">
        <v>1</v>
      </c>
      <c r="K412" s="64"/>
    </row>
    <row r="413" spans="1:11">
      <c r="A413" s="65" t="s">
        <v>2028</v>
      </c>
      <c r="B413" s="64" t="s">
        <v>2107</v>
      </c>
      <c r="C413" s="65" t="s">
        <v>1277</v>
      </c>
      <c r="D413" t="s">
        <v>1637</v>
      </c>
      <c r="E413" s="64"/>
      <c r="F413" s="64"/>
      <c r="G413" s="64"/>
      <c r="H413" s="64"/>
      <c r="I413" s="64"/>
      <c r="J413" s="64"/>
      <c r="K413" s="64"/>
    </row>
    <row r="414" spans="1:11">
      <c r="A414" s="65" t="s">
        <v>2028</v>
      </c>
      <c r="B414" s="64" t="s">
        <v>2107</v>
      </c>
      <c r="C414" s="64" t="s">
        <v>1277</v>
      </c>
      <c r="D414" t="s">
        <v>1615</v>
      </c>
      <c r="E414" s="64"/>
      <c r="F414" s="64"/>
      <c r="G414" s="64"/>
      <c r="H414" s="64"/>
      <c r="I414" s="64"/>
      <c r="J414" s="64"/>
      <c r="K414" s="64"/>
    </row>
    <row r="415" spans="1:11">
      <c r="A415" s="65" t="s">
        <v>2028</v>
      </c>
      <c r="B415" s="64" t="s">
        <v>2107</v>
      </c>
      <c r="C415" s="64" t="s">
        <v>1277</v>
      </c>
      <c r="D415" t="s">
        <v>603</v>
      </c>
      <c r="E415" s="64">
        <v>1</v>
      </c>
      <c r="F415" s="64">
        <v>0</v>
      </c>
      <c r="G415" s="64">
        <v>1</v>
      </c>
      <c r="H415" s="64"/>
      <c r="I415" s="64"/>
      <c r="J415" s="64"/>
      <c r="K415" s="64"/>
    </row>
    <row r="416" spans="1:11">
      <c r="A416" s="65" t="s">
        <v>2028</v>
      </c>
      <c r="B416" s="64" t="s">
        <v>2107</v>
      </c>
      <c r="C416" s="64" t="s">
        <v>1277</v>
      </c>
      <c r="D416" t="s">
        <v>2183</v>
      </c>
      <c r="E416" s="64"/>
      <c r="F416" s="64"/>
      <c r="G416" s="64"/>
      <c r="H416" s="64"/>
      <c r="I416" s="64"/>
      <c r="J416" s="64"/>
      <c r="K416" s="64"/>
    </row>
    <row r="417" spans="1:11">
      <c r="A417" s="65" t="s">
        <v>2028</v>
      </c>
      <c r="B417" s="64" t="s">
        <v>2107</v>
      </c>
      <c r="C417" s="64" t="s">
        <v>1277</v>
      </c>
      <c r="D417" t="s">
        <v>2178</v>
      </c>
      <c r="E417" s="64"/>
      <c r="F417" s="64"/>
      <c r="G417" s="64"/>
      <c r="H417" s="64"/>
      <c r="I417" s="64"/>
      <c r="J417" s="64"/>
      <c r="K417" s="64"/>
    </row>
    <row r="418" spans="1:11">
      <c r="A418" s="65" t="s">
        <v>2028</v>
      </c>
      <c r="B418" s="64" t="s">
        <v>2107</v>
      </c>
      <c r="C418" s="65" t="s">
        <v>1277</v>
      </c>
      <c r="D418" t="s">
        <v>1649</v>
      </c>
      <c r="E418" s="64"/>
      <c r="F418" s="64"/>
      <c r="G418" s="64"/>
      <c r="H418" s="64"/>
      <c r="I418" s="64"/>
      <c r="J418" s="64"/>
      <c r="K418" s="64"/>
    </row>
    <row r="419" spans="1:11">
      <c r="A419" s="65" t="s">
        <v>2028</v>
      </c>
      <c r="B419" s="64" t="s">
        <v>2107</v>
      </c>
      <c r="C419" s="65" t="s">
        <v>1277</v>
      </c>
      <c r="D419" t="s">
        <v>611</v>
      </c>
      <c r="E419" s="64">
        <v>1</v>
      </c>
      <c r="F419" s="64">
        <v>0</v>
      </c>
      <c r="G419" s="64">
        <v>1</v>
      </c>
      <c r="H419" s="64">
        <v>0</v>
      </c>
      <c r="I419" s="64">
        <v>1</v>
      </c>
      <c r="J419" s="64">
        <v>0</v>
      </c>
      <c r="K419" s="64"/>
    </row>
    <row r="420" spans="1:11">
      <c r="A420" s="65" t="s">
        <v>2028</v>
      </c>
      <c r="B420" s="64" t="s">
        <v>2107</v>
      </c>
      <c r="C420" s="64" t="s">
        <v>1277</v>
      </c>
      <c r="D420" t="s">
        <v>2181</v>
      </c>
      <c r="E420" s="64"/>
      <c r="F420" s="64"/>
      <c r="G420" s="64"/>
      <c r="H420" s="64"/>
      <c r="I420" s="64"/>
      <c r="J420" s="64"/>
      <c r="K420" s="64"/>
    </row>
    <row r="421" spans="1:11">
      <c r="A421" s="65" t="s">
        <v>2028</v>
      </c>
      <c r="B421" s="64" t="s">
        <v>2107</v>
      </c>
      <c r="C421" s="64" t="s">
        <v>1277</v>
      </c>
      <c r="D421" t="s">
        <v>627</v>
      </c>
      <c r="E421" s="64"/>
      <c r="F421" s="64"/>
      <c r="G421" s="64"/>
      <c r="H421" s="64"/>
      <c r="I421" s="64"/>
      <c r="J421" s="64"/>
      <c r="K421" s="64"/>
    </row>
    <row r="422" spans="1:11">
      <c r="A422" s="65" t="s">
        <v>2028</v>
      </c>
      <c r="B422" s="64" t="s">
        <v>2107</v>
      </c>
      <c r="C422" s="64" t="s">
        <v>1277</v>
      </c>
      <c r="D422" t="s">
        <v>901</v>
      </c>
      <c r="E422" s="64">
        <v>1</v>
      </c>
      <c r="F422" s="64">
        <v>0</v>
      </c>
      <c r="G422" s="64">
        <v>0</v>
      </c>
      <c r="H422" s="64"/>
      <c r="I422" s="64"/>
      <c r="J422" s="64"/>
      <c r="K422" s="64"/>
    </row>
    <row r="423" spans="1:11">
      <c r="A423" s="65" t="s">
        <v>2028</v>
      </c>
      <c r="B423" s="64" t="s">
        <v>2107</v>
      </c>
      <c r="C423" s="65" t="s">
        <v>1277</v>
      </c>
      <c r="D423" t="s">
        <v>2054</v>
      </c>
      <c r="E423" s="64"/>
      <c r="F423" s="64"/>
      <c r="G423" s="64"/>
      <c r="H423" s="64">
        <v>1</v>
      </c>
      <c r="I423" s="65">
        <v>1</v>
      </c>
      <c r="J423" s="65">
        <v>0</v>
      </c>
      <c r="K423" s="64"/>
    </row>
    <row r="424" spans="1:11">
      <c r="A424" s="65" t="s">
        <v>2028</v>
      </c>
      <c r="B424" s="64" t="s">
        <v>2107</v>
      </c>
      <c r="C424" s="65" t="s">
        <v>1277</v>
      </c>
      <c r="D424" t="s">
        <v>2057</v>
      </c>
      <c r="E424" s="64"/>
      <c r="F424" s="64"/>
      <c r="G424" s="64"/>
      <c r="H424" s="64"/>
      <c r="I424" s="64"/>
      <c r="J424" s="64"/>
      <c r="K424" s="64"/>
    </row>
    <row r="425" spans="1:11">
      <c r="A425" s="65" t="s">
        <v>2028</v>
      </c>
      <c r="B425" s="64" t="s">
        <v>2107</v>
      </c>
      <c r="C425" s="64" t="s">
        <v>1277</v>
      </c>
      <c r="D425" t="s">
        <v>1657</v>
      </c>
      <c r="E425" s="64"/>
      <c r="F425" s="64"/>
      <c r="G425" s="64"/>
      <c r="H425" s="64">
        <v>1</v>
      </c>
      <c r="I425" s="64">
        <v>1</v>
      </c>
      <c r="J425" s="64">
        <v>0</v>
      </c>
      <c r="K425" s="64"/>
    </row>
    <row r="426" spans="1:11">
      <c r="A426" s="65" t="s">
        <v>2028</v>
      </c>
      <c r="B426" s="64" t="s">
        <v>2107</v>
      </c>
      <c r="C426" s="65" t="s">
        <v>1277</v>
      </c>
      <c r="D426" t="s">
        <v>1623</v>
      </c>
      <c r="E426" s="64"/>
      <c r="F426" s="64"/>
      <c r="G426" s="64"/>
      <c r="H426" s="64">
        <v>1</v>
      </c>
      <c r="I426" s="64">
        <v>1</v>
      </c>
      <c r="J426" s="64">
        <v>0</v>
      </c>
      <c r="K426" s="64"/>
    </row>
    <row r="427" spans="1:11">
      <c r="A427" s="65" t="s">
        <v>2028</v>
      </c>
      <c r="B427" s="64" t="s">
        <v>2107</v>
      </c>
      <c r="C427" s="65" t="s">
        <v>1277</v>
      </c>
      <c r="D427" t="s">
        <v>2138</v>
      </c>
      <c r="E427" s="64"/>
      <c r="F427" s="64"/>
      <c r="G427" s="64"/>
      <c r="H427" s="64"/>
      <c r="I427" s="64"/>
      <c r="J427" s="64"/>
      <c r="K427" s="64"/>
    </row>
    <row r="428" spans="1:11">
      <c r="A428" s="65" t="s">
        <v>2028</v>
      </c>
      <c r="B428" s="64" t="s">
        <v>2107</v>
      </c>
      <c r="C428" s="64" t="s">
        <v>1277</v>
      </c>
      <c r="D428" t="s">
        <v>1617</v>
      </c>
      <c r="E428" s="64"/>
      <c r="F428" s="64"/>
      <c r="G428" s="64"/>
      <c r="H428" s="64"/>
      <c r="I428" s="64"/>
      <c r="J428" s="64"/>
      <c r="K428" s="64"/>
    </row>
    <row r="429" spans="1:11">
      <c r="A429" s="65" t="s">
        <v>2028</v>
      </c>
      <c r="B429" s="64" t="s">
        <v>2107</v>
      </c>
      <c r="C429" s="65" t="s">
        <v>1277</v>
      </c>
      <c r="D429" t="s">
        <v>1618</v>
      </c>
      <c r="E429" s="64"/>
      <c r="F429" s="64"/>
      <c r="G429" s="64"/>
      <c r="H429" s="64">
        <v>1</v>
      </c>
      <c r="I429" s="64">
        <v>0</v>
      </c>
      <c r="J429" s="64">
        <v>1</v>
      </c>
      <c r="K429" s="64"/>
    </row>
    <row r="430" spans="1:11">
      <c r="A430" s="65" t="s">
        <v>2028</v>
      </c>
      <c r="B430" s="64" t="s">
        <v>2107</v>
      </c>
      <c r="C430" s="65" t="s">
        <v>1277</v>
      </c>
      <c r="D430" t="s">
        <v>2062</v>
      </c>
      <c r="E430" s="64"/>
      <c r="F430" s="64"/>
      <c r="G430" s="64"/>
      <c r="H430" s="64"/>
      <c r="I430" s="64"/>
      <c r="J430" s="64"/>
      <c r="K430" s="64"/>
    </row>
    <row r="431" spans="1:11">
      <c r="A431" s="65" t="s">
        <v>2028</v>
      </c>
      <c r="B431" s="64" t="s">
        <v>2107</v>
      </c>
      <c r="C431" s="65" t="s">
        <v>1277</v>
      </c>
      <c r="D431" t="s">
        <v>2184</v>
      </c>
      <c r="E431" s="64"/>
      <c r="F431" s="64"/>
      <c r="G431" s="64"/>
      <c r="H431" s="64"/>
      <c r="I431" s="64"/>
      <c r="J431" s="64"/>
      <c r="K431" s="64"/>
    </row>
    <row r="432" spans="1:11">
      <c r="A432" s="65" t="s">
        <v>2028</v>
      </c>
      <c r="B432" s="64" t="s">
        <v>2107</v>
      </c>
      <c r="C432" s="65" t="s">
        <v>1277</v>
      </c>
      <c r="D432" t="s">
        <v>2185</v>
      </c>
      <c r="E432" s="64"/>
      <c r="F432" s="64"/>
      <c r="G432" s="64"/>
      <c r="H432" s="64"/>
      <c r="I432" s="64"/>
      <c r="J432" s="64"/>
      <c r="K432" s="64"/>
    </row>
    <row r="433" spans="1:11">
      <c r="A433" s="65" t="s">
        <v>2028</v>
      </c>
      <c r="B433" s="64" t="s">
        <v>2107</v>
      </c>
      <c r="C433" s="64" t="s">
        <v>1277</v>
      </c>
      <c r="D433" t="s">
        <v>2230</v>
      </c>
    </row>
    <row r="434" spans="1:11">
      <c r="A434" s="65" t="s">
        <v>2028</v>
      </c>
      <c r="B434" s="64" t="s">
        <v>2107</v>
      </c>
      <c r="C434" s="64" t="s">
        <v>1277</v>
      </c>
      <c r="D434" t="s">
        <v>2231</v>
      </c>
    </row>
    <row r="435" spans="1:11">
      <c r="A435" s="65" t="s">
        <v>2028</v>
      </c>
      <c r="B435" s="64" t="s">
        <v>2107</v>
      </c>
      <c r="C435" s="64" t="s">
        <v>1277</v>
      </c>
      <c r="D435" t="s">
        <v>2229</v>
      </c>
    </row>
    <row r="436" spans="1:11">
      <c r="A436" s="65" t="s">
        <v>2028</v>
      </c>
      <c r="B436" s="64" t="s">
        <v>2107</v>
      </c>
      <c r="C436" s="64" t="s">
        <v>1277</v>
      </c>
      <c r="D436" t="s">
        <v>2227</v>
      </c>
    </row>
    <row r="437" spans="1:11">
      <c r="A437" s="65" t="s">
        <v>2028</v>
      </c>
      <c r="B437" s="64" t="s">
        <v>2107</v>
      </c>
      <c r="C437" s="64" t="s">
        <v>1277</v>
      </c>
      <c r="D437" t="s">
        <v>2182</v>
      </c>
      <c r="E437" s="64"/>
      <c r="F437" s="64"/>
      <c r="G437" s="64"/>
      <c r="H437" s="64"/>
      <c r="I437" s="64"/>
      <c r="J437" s="64"/>
      <c r="K437" s="64"/>
    </row>
    <row r="438" spans="1:11">
      <c r="A438" s="65" t="s">
        <v>2028</v>
      </c>
      <c r="B438" s="64" t="s">
        <v>2107</v>
      </c>
      <c r="C438" t="s">
        <v>1277</v>
      </c>
      <c r="D438" t="s">
        <v>2243</v>
      </c>
    </row>
    <row r="439" spans="1:11">
      <c r="A439" s="65" t="s">
        <v>2028</v>
      </c>
      <c r="B439" s="64" t="s">
        <v>2107</v>
      </c>
      <c r="C439" s="65" t="s">
        <v>1277</v>
      </c>
      <c r="D439" t="s">
        <v>1626</v>
      </c>
      <c r="E439" s="64"/>
      <c r="F439" s="64"/>
      <c r="G439" s="64"/>
      <c r="H439" s="64"/>
      <c r="I439" s="64"/>
      <c r="J439" s="64"/>
      <c r="K439" s="64"/>
    </row>
    <row r="440" spans="1:11">
      <c r="A440" s="65" t="s">
        <v>2028</v>
      </c>
      <c r="B440" s="64" t="s">
        <v>2107</v>
      </c>
      <c r="C440" s="65" t="s">
        <v>1277</v>
      </c>
      <c r="D440" t="s">
        <v>2031</v>
      </c>
      <c r="E440" s="64">
        <v>1</v>
      </c>
      <c r="F440" s="64">
        <v>1</v>
      </c>
      <c r="G440" s="64">
        <v>1</v>
      </c>
      <c r="H440" s="64">
        <v>1</v>
      </c>
      <c r="I440" s="64">
        <v>1</v>
      </c>
      <c r="J440" s="64">
        <v>0</v>
      </c>
      <c r="K440" s="64"/>
    </row>
    <row r="441" spans="1:11">
      <c r="A441" s="65" t="s">
        <v>2028</v>
      </c>
      <c r="B441" s="64" t="s">
        <v>2107</v>
      </c>
      <c r="C441" s="64" t="s">
        <v>1277</v>
      </c>
      <c r="D441" t="s">
        <v>2228</v>
      </c>
    </row>
    <row r="442" spans="1:11">
      <c r="A442" s="65" t="s">
        <v>2028</v>
      </c>
      <c r="B442" s="64" t="s">
        <v>2107</v>
      </c>
      <c r="C442" s="65" t="s">
        <v>1277</v>
      </c>
      <c r="D442" t="s">
        <v>1651</v>
      </c>
      <c r="E442" s="64"/>
      <c r="F442" s="64"/>
      <c r="G442" s="64"/>
      <c r="H442" s="64"/>
      <c r="I442" s="64"/>
      <c r="J442" s="64"/>
      <c r="K442" s="64"/>
    </row>
    <row r="443" spans="1:11">
      <c r="A443" s="65" t="s">
        <v>2028</v>
      </c>
      <c r="B443" s="64" t="s">
        <v>2107</v>
      </c>
      <c r="C443" s="65" t="s">
        <v>1277</v>
      </c>
      <c r="D443" t="s">
        <v>662</v>
      </c>
      <c r="E443" s="64"/>
      <c r="F443" s="64"/>
      <c r="G443" s="64"/>
      <c r="H443" s="64"/>
      <c r="I443" s="64"/>
      <c r="J443" s="64"/>
      <c r="K443" s="64"/>
    </row>
    <row r="444" spans="1:11">
      <c r="A444" s="65" t="s">
        <v>2028</v>
      </c>
      <c r="B444" s="64" t="s">
        <v>2107</v>
      </c>
      <c r="C444" s="64" t="s">
        <v>1277</v>
      </c>
      <c r="D444" t="s">
        <v>2225</v>
      </c>
    </row>
    <row r="445" spans="1:11">
      <c r="A445" s="65" t="s">
        <v>2028</v>
      </c>
      <c r="B445" s="64" t="s">
        <v>2107</v>
      </c>
      <c r="C445" s="65" t="s">
        <v>1277</v>
      </c>
      <c r="D445" t="s">
        <v>1627</v>
      </c>
      <c r="E445" s="64"/>
      <c r="F445" s="64"/>
      <c r="G445" s="64"/>
      <c r="H445" s="64">
        <v>0</v>
      </c>
      <c r="I445" s="64">
        <v>1</v>
      </c>
      <c r="J445" s="64">
        <v>0</v>
      </c>
      <c r="K445" s="64"/>
    </row>
    <row r="446" spans="1:11">
      <c r="A446" s="65" t="s">
        <v>2028</v>
      </c>
      <c r="B446" s="64" t="s">
        <v>2107</v>
      </c>
      <c r="C446" s="65" t="s">
        <v>1277</v>
      </c>
      <c r="D446" t="s">
        <v>2065</v>
      </c>
      <c r="E446" s="64"/>
      <c r="F446" s="64"/>
      <c r="G446" s="64"/>
      <c r="H446" s="64">
        <v>1</v>
      </c>
      <c r="I446" s="64">
        <v>0</v>
      </c>
      <c r="J446" s="64">
        <v>0</v>
      </c>
      <c r="K446" s="64"/>
    </row>
    <row r="447" spans="1:11">
      <c r="A447" s="65" t="s">
        <v>2028</v>
      </c>
      <c r="B447" s="64" t="s">
        <v>2107</v>
      </c>
      <c r="C447" s="64" t="s">
        <v>1277</v>
      </c>
      <c r="D447" t="s">
        <v>1616</v>
      </c>
      <c r="E447" s="64"/>
      <c r="F447" s="64"/>
      <c r="G447" s="64"/>
      <c r="H447" s="64">
        <v>0</v>
      </c>
      <c r="I447" s="64">
        <v>1</v>
      </c>
      <c r="J447" s="64">
        <v>1</v>
      </c>
      <c r="K447" s="64"/>
    </row>
    <row r="448" spans="1:11">
      <c r="A448" s="65" t="s">
        <v>2028</v>
      </c>
      <c r="B448" s="64" t="s">
        <v>2107</v>
      </c>
      <c r="C448" s="65" t="s">
        <v>1277</v>
      </c>
      <c r="D448" t="s">
        <v>1628</v>
      </c>
      <c r="E448" s="64"/>
      <c r="F448" s="64"/>
      <c r="G448" s="64"/>
      <c r="H448" s="64"/>
      <c r="I448" s="64"/>
      <c r="J448" s="64"/>
      <c r="K448" s="64"/>
    </row>
    <row r="449" spans="1:11">
      <c r="A449" s="65" t="s">
        <v>2028</v>
      </c>
      <c r="B449" s="64" t="s">
        <v>2107</v>
      </c>
      <c r="C449" s="65" t="s">
        <v>1277</v>
      </c>
      <c r="D449" t="s">
        <v>1620</v>
      </c>
      <c r="E449" s="64"/>
      <c r="F449" s="64"/>
      <c r="G449" s="64"/>
      <c r="H449" s="64"/>
      <c r="I449" s="64"/>
      <c r="J449" s="64"/>
      <c r="K449" s="64"/>
    </row>
    <row r="450" spans="1:11">
      <c r="A450" s="65" t="s">
        <v>2028</v>
      </c>
      <c r="B450" s="64" t="s">
        <v>2107</v>
      </c>
      <c r="C450" s="65" t="s">
        <v>1277</v>
      </c>
      <c r="D450" t="s">
        <v>1629</v>
      </c>
      <c r="E450" s="64"/>
      <c r="F450" s="64"/>
      <c r="G450" s="64"/>
      <c r="H450" s="64"/>
      <c r="I450" s="64"/>
      <c r="J450" s="64"/>
      <c r="K450" s="64"/>
    </row>
    <row r="451" spans="1:11">
      <c r="A451" s="65" t="s">
        <v>2028</v>
      </c>
      <c r="B451" s="64" t="s">
        <v>2107</v>
      </c>
      <c r="C451" s="65" t="s">
        <v>1277</v>
      </c>
      <c r="D451" t="s">
        <v>1630</v>
      </c>
      <c r="E451" s="64"/>
      <c r="F451" s="64"/>
      <c r="G451" s="64"/>
      <c r="H451" s="64"/>
      <c r="I451" s="64"/>
      <c r="J451" s="64"/>
      <c r="K451" s="64"/>
    </row>
    <row r="452" spans="1:11">
      <c r="A452" s="65" t="s">
        <v>2028</v>
      </c>
      <c r="B452" s="64" t="s">
        <v>2107</v>
      </c>
      <c r="C452" s="65" t="s">
        <v>1277</v>
      </c>
      <c r="D452" t="s">
        <v>608</v>
      </c>
      <c r="E452" s="64"/>
      <c r="F452" s="64"/>
      <c r="G452" s="64"/>
      <c r="H452" s="64">
        <v>1</v>
      </c>
      <c r="I452" s="65">
        <v>1</v>
      </c>
      <c r="J452" s="65">
        <v>0</v>
      </c>
      <c r="K452" s="64"/>
    </row>
    <row r="453" spans="1:11">
      <c r="A453" s="65" t="s">
        <v>2028</v>
      </c>
      <c r="B453" s="64" t="s">
        <v>2107</v>
      </c>
      <c r="C453" t="s">
        <v>1277</v>
      </c>
      <c r="D453" t="s">
        <v>2233</v>
      </c>
    </row>
    <row r="454" spans="1:11">
      <c r="A454" s="65" t="s">
        <v>2028</v>
      </c>
      <c r="B454" s="64" t="s">
        <v>2107</v>
      </c>
      <c r="C454" s="65" t="s">
        <v>1277</v>
      </c>
      <c r="D454" t="s">
        <v>500</v>
      </c>
      <c r="E454" s="64">
        <v>1</v>
      </c>
      <c r="F454" s="64">
        <v>0</v>
      </c>
      <c r="G454" s="64">
        <v>1</v>
      </c>
      <c r="H454" s="64"/>
      <c r="I454" s="64"/>
      <c r="J454" s="64"/>
      <c r="K454" s="64"/>
    </row>
    <row r="455" spans="1:11">
      <c r="A455" s="65" t="s">
        <v>2028</v>
      </c>
      <c r="B455" s="64" t="s">
        <v>2107</v>
      </c>
      <c r="C455" s="65" t="s">
        <v>1277</v>
      </c>
      <c r="D455" t="s">
        <v>606</v>
      </c>
      <c r="E455" s="64">
        <v>1</v>
      </c>
      <c r="F455" s="64">
        <v>0</v>
      </c>
      <c r="G455" s="64">
        <v>0</v>
      </c>
      <c r="H455" s="64"/>
      <c r="I455" s="64"/>
      <c r="J455" s="64"/>
      <c r="K455" s="64"/>
    </row>
    <row r="456" spans="1:11">
      <c r="A456" s="65" t="s">
        <v>2028</v>
      </c>
      <c r="B456" s="64" t="s">
        <v>2107</v>
      </c>
      <c r="C456" s="65" t="s">
        <v>1277</v>
      </c>
      <c r="D456" t="s">
        <v>1652</v>
      </c>
      <c r="E456" s="64"/>
      <c r="F456" s="64"/>
      <c r="G456" s="64"/>
      <c r="H456" s="64">
        <v>1</v>
      </c>
      <c r="I456" s="64">
        <v>0</v>
      </c>
      <c r="J456" s="64">
        <v>1</v>
      </c>
      <c r="K456" s="64"/>
    </row>
    <row r="457" spans="1:11">
      <c r="A457" s="65" t="s">
        <v>2028</v>
      </c>
      <c r="B457" s="64" t="s">
        <v>2107</v>
      </c>
      <c r="C457" s="65" t="s">
        <v>1277</v>
      </c>
      <c r="D457" t="s">
        <v>666</v>
      </c>
      <c r="E457" s="64"/>
      <c r="F457" s="64"/>
      <c r="G457" s="64"/>
      <c r="H457" s="64">
        <v>1</v>
      </c>
      <c r="I457" s="64">
        <v>0</v>
      </c>
      <c r="J457" s="64">
        <v>0</v>
      </c>
      <c r="K457" s="64"/>
    </row>
    <row r="458" spans="1:11">
      <c r="A458" s="65" t="s">
        <v>2028</v>
      </c>
      <c r="B458" s="64" t="s">
        <v>2107</v>
      </c>
      <c r="C458" s="64" t="s">
        <v>1277</v>
      </c>
      <c r="D458" t="s">
        <v>2179</v>
      </c>
      <c r="E458" s="64"/>
      <c r="F458" s="64"/>
      <c r="G458" s="64"/>
      <c r="H458" s="64"/>
      <c r="I458" s="64"/>
      <c r="J458" s="64"/>
      <c r="K458" s="64"/>
    </row>
    <row r="459" spans="1:11">
      <c r="A459" s="65" t="s">
        <v>2028</v>
      </c>
      <c r="B459" s="64" t="s">
        <v>2107</v>
      </c>
      <c r="C459" s="65" t="s">
        <v>1277</v>
      </c>
      <c r="D459" t="s">
        <v>1621</v>
      </c>
      <c r="E459" s="64"/>
      <c r="F459" s="64"/>
      <c r="G459" s="64"/>
      <c r="H459" s="64"/>
      <c r="I459" s="64"/>
      <c r="J459" s="64"/>
      <c r="K459" s="64"/>
    </row>
    <row r="460" spans="1:11">
      <c r="A460" s="65" t="s">
        <v>2028</v>
      </c>
      <c r="B460" s="64" t="s">
        <v>2107</v>
      </c>
      <c r="C460" s="64" t="s">
        <v>1277</v>
      </c>
      <c r="D460" t="s">
        <v>2226</v>
      </c>
    </row>
    <row r="461" spans="1:11">
      <c r="A461" s="65" t="s">
        <v>2028</v>
      </c>
      <c r="B461" s="64" t="s">
        <v>2107</v>
      </c>
      <c r="C461" s="65" t="s">
        <v>1277</v>
      </c>
      <c r="D461" t="s">
        <v>610</v>
      </c>
      <c r="E461" s="64"/>
      <c r="F461" s="64"/>
      <c r="G461" s="64"/>
      <c r="H461" s="64"/>
      <c r="I461" s="64"/>
      <c r="J461" s="64"/>
      <c r="K461" s="64"/>
    </row>
    <row r="462" spans="1:11">
      <c r="A462" s="65" t="s">
        <v>2028</v>
      </c>
      <c r="B462" s="64" t="s">
        <v>2107</v>
      </c>
      <c r="C462" s="65" t="s">
        <v>1277</v>
      </c>
      <c r="D462" t="s">
        <v>1622</v>
      </c>
      <c r="E462" s="64"/>
      <c r="F462" s="64"/>
      <c r="G462" s="64"/>
      <c r="H462" s="64">
        <v>0</v>
      </c>
      <c r="I462" s="64">
        <v>1</v>
      </c>
      <c r="J462" s="64">
        <v>0</v>
      </c>
      <c r="K462" s="64"/>
    </row>
    <row r="463" spans="1:11">
      <c r="A463" s="65" t="s">
        <v>2028</v>
      </c>
      <c r="B463" s="64" t="s">
        <v>2107</v>
      </c>
      <c r="C463" s="65" t="s">
        <v>1277</v>
      </c>
      <c r="D463" t="s">
        <v>1631</v>
      </c>
      <c r="E463" s="64"/>
      <c r="F463" s="64"/>
      <c r="G463" s="64"/>
      <c r="H463" s="64"/>
      <c r="I463" s="64"/>
      <c r="J463" s="64"/>
      <c r="K463" s="64"/>
    </row>
    <row r="464" spans="1:11">
      <c r="A464" s="65" t="s">
        <v>2028</v>
      </c>
      <c r="B464" s="64" t="s">
        <v>2107</v>
      </c>
      <c r="C464" s="65" t="s">
        <v>1277</v>
      </c>
      <c r="D464" t="s">
        <v>1653</v>
      </c>
      <c r="E464" s="64"/>
      <c r="F464" s="64"/>
      <c r="G464" s="64"/>
      <c r="H464" s="64"/>
      <c r="I464" s="64"/>
      <c r="J464" s="64"/>
      <c r="K464" s="64"/>
    </row>
    <row r="465" spans="1:11">
      <c r="A465" s="65" t="s">
        <v>2028</v>
      </c>
      <c r="B465" s="64" t="s">
        <v>2107</v>
      </c>
      <c r="C465" s="65" t="s">
        <v>1277</v>
      </c>
      <c r="D465" t="s">
        <v>1654</v>
      </c>
      <c r="E465" s="64"/>
      <c r="F465" s="64"/>
      <c r="G465" s="64"/>
      <c r="H465" s="64">
        <v>1</v>
      </c>
      <c r="I465" s="64">
        <v>1</v>
      </c>
      <c r="J465" s="64">
        <v>0</v>
      </c>
      <c r="K465" s="64"/>
    </row>
    <row r="466" spans="1:11">
      <c r="A466" s="65" t="s">
        <v>2028</v>
      </c>
      <c r="B466" s="64" t="s">
        <v>2107</v>
      </c>
      <c r="C466" s="65" t="s">
        <v>1277</v>
      </c>
      <c r="D466" t="s">
        <v>605</v>
      </c>
      <c r="E466" s="64">
        <v>1</v>
      </c>
      <c r="F466" s="64">
        <v>0</v>
      </c>
      <c r="G466" s="64">
        <v>0</v>
      </c>
      <c r="H466" s="64">
        <v>1</v>
      </c>
      <c r="I466" s="64">
        <v>0</v>
      </c>
      <c r="J466" s="64">
        <v>0</v>
      </c>
      <c r="K466" s="64"/>
    </row>
    <row r="467" spans="1:11">
      <c r="A467" s="65" t="s">
        <v>2028</v>
      </c>
      <c r="B467" s="64" t="s">
        <v>2107</v>
      </c>
      <c r="C467" s="65" t="s">
        <v>1277</v>
      </c>
      <c r="D467" t="s">
        <v>1655</v>
      </c>
      <c r="E467" s="64"/>
      <c r="F467" s="64"/>
      <c r="G467" s="64"/>
      <c r="H467" s="64"/>
      <c r="I467" s="64"/>
      <c r="J467" s="64"/>
      <c r="K467" s="64"/>
    </row>
    <row r="468" spans="1:11">
      <c r="A468" s="65" t="s">
        <v>2028</v>
      </c>
      <c r="B468" s="64" t="s">
        <v>2107</v>
      </c>
      <c r="C468" s="65" t="s">
        <v>1277</v>
      </c>
      <c r="D468" t="s">
        <v>1636</v>
      </c>
      <c r="E468" s="64"/>
      <c r="F468" s="64"/>
      <c r="G468" s="64"/>
      <c r="H468" s="64"/>
      <c r="I468" s="64"/>
      <c r="J468" s="64"/>
      <c r="K468" s="64"/>
    </row>
    <row r="469" spans="1:11">
      <c r="A469" s="65" t="s">
        <v>2028</v>
      </c>
      <c r="B469" s="64" t="s">
        <v>2107</v>
      </c>
      <c r="C469" t="s">
        <v>1277</v>
      </c>
      <c r="D469" t="s">
        <v>2238</v>
      </c>
    </row>
    <row r="470" spans="1:11">
      <c r="A470" s="65" t="s">
        <v>2028</v>
      </c>
      <c r="B470" s="64" t="s">
        <v>2107</v>
      </c>
      <c r="C470" t="s">
        <v>1277</v>
      </c>
      <c r="D470" t="s">
        <v>2236</v>
      </c>
    </row>
    <row r="471" spans="1:11">
      <c r="A471" s="65" t="s">
        <v>2028</v>
      </c>
      <c r="B471" s="64" t="s">
        <v>2107</v>
      </c>
      <c r="C471" s="64" t="s">
        <v>1277</v>
      </c>
      <c r="D471" t="s">
        <v>2237</v>
      </c>
    </row>
    <row r="472" spans="1:11">
      <c r="A472" s="65" t="s">
        <v>2028</v>
      </c>
      <c r="B472" s="64" t="s">
        <v>2107</v>
      </c>
      <c r="C472" s="64" t="s">
        <v>1277</v>
      </c>
      <c r="D472" t="s">
        <v>2224</v>
      </c>
    </row>
    <row r="473" spans="1:11">
      <c r="A473" s="65" t="s">
        <v>2028</v>
      </c>
      <c r="B473" s="64" t="s">
        <v>2107</v>
      </c>
      <c r="C473" t="s">
        <v>1277</v>
      </c>
      <c r="D473" t="s">
        <v>2234</v>
      </c>
    </row>
    <row r="474" spans="1:11">
      <c r="A474" s="65" t="s">
        <v>2028</v>
      </c>
      <c r="B474" s="64" t="s">
        <v>2107</v>
      </c>
      <c r="C474" s="64" t="s">
        <v>1277</v>
      </c>
      <c r="D474" t="s">
        <v>2180</v>
      </c>
      <c r="E474" s="64"/>
      <c r="F474" s="64"/>
      <c r="G474" s="64"/>
      <c r="H474" s="64"/>
      <c r="I474" s="64"/>
      <c r="J474" s="64"/>
      <c r="K474" s="64"/>
    </row>
    <row r="475" spans="1:11">
      <c r="A475" s="65" t="s">
        <v>2028</v>
      </c>
      <c r="B475" s="64" t="s">
        <v>2107</v>
      </c>
      <c r="C475" s="65" t="s">
        <v>1277</v>
      </c>
      <c r="D475" t="s">
        <v>612</v>
      </c>
      <c r="E475" s="64"/>
      <c r="F475" s="64"/>
      <c r="G475" s="64"/>
      <c r="H475" s="64">
        <v>1</v>
      </c>
      <c r="I475" s="64">
        <v>0</v>
      </c>
      <c r="J475" s="64">
        <v>1</v>
      </c>
      <c r="K475" s="64"/>
    </row>
    <row r="476" spans="1:11">
      <c r="A476" s="65" t="s">
        <v>2028</v>
      </c>
      <c r="B476" s="64" t="s">
        <v>2107</v>
      </c>
      <c r="C476" s="64" t="s">
        <v>1277</v>
      </c>
      <c r="D476" t="s">
        <v>591</v>
      </c>
      <c r="E476" s="64">
        <v>0</v>
      </c>
      <c r="F476" s="64">
        <v>0</v>
      </c>
      <c r="G476" s="64">
        <v>0</v>
      </c>
      <c r="H476" s="64"/>
      <c r="I476" s="64"/>
      <c r="J476" s="64"/>
      <c r="K476" s="64"/>
    </row>
    <row r="477" spans="1:11">
      <c r="A477" s="64" t="s">
        <v>2027</v>
      </c>
      <c r="B477" s="64" t="s">
        <v>2107</v>
      </c>
      <c r="C477" s="64" t="s">
        <v>1201</v>
      </c>
      <c r="D477" t="s">
        <v>2032</v>
      </c>
      <c r="E477" s="64">
        <v>1</v>
      </c>
      <c r="F477" s="64">
        <v>1</v>
      </c>
      <c r="G477" s="64">
        <v>1</v>
      </c>
      <c r="H477" s="64">
        <v>0</v>
      </c>
      <c r="I477" s="64">
        <v>1</v>
      </c>
      <c r="J477" s="64">
        <v>1</v>
      </c>
      <c r="K477" s="64"/>
    </row>
    <row r="478" spans="1:11">
      <c r="A478" s="65" t="s">
        <v>2027</v>
      </c>
      <c r="B478" s="64" t="s">
        <v>2107</v>
      </c>
      <c r="C478" s="64" t="s">
        <v>1201</v>
      </c>
      <c r="D478" t="s">
        <v>2207</v>
      </c>
    </row>
    <row r="479" spans="1:11">
      <c r="A479" s="64" t="s">
        <v>2027</v>
      </c>
      <c r="B479" s="64" t="s">
        <v>2107</v>
      </c>
      <c r="C479" s="64" t="s">
        <v>1201</v>
      </c>
      <c r="D479" t="s">
        <v>1675</v>
      </c>
      <c r="E479" s="64">
        <v>0</v>
      </c>
      <c r="F479" s="64">
        <v>1</v>
      </c>
      <c r="G479" s="64">
        <v>0</v>
      </c>
      <c r="H479" s="64">
        <v>1</v>
      </c>
      <c r="I479" s="65">
        <v>0</v>
      </c>
      <c r="J479" s="65">
        <v>0</v>
      </c>
      <c r="K479" s="64"/>
    </row>
    <row r="480" spans="1:11">
      <c r="A480" s="64" t="s">
        <v>2027</v>
      </c>
      <c r="B480" s="64" t="s">
        <v>2107</v>
      </c>
      <c r="C480" s="64" t="s">
        <v>1201</v>
      </c>
      <c r="D480" t="s">
        <v>1809</v>
      </c>
      <c r="E480" s="64">
        <v>1</v>
      </c>
      <c r="F480" s="64">
        <v>1</v>
      </c>
      <c r="G480" s="64">
        <v>0</v>
      </c>
      <c r="H480" s="64">
        <v>0</v>
      </c>
      <c r="I480" s="64">
        <v>0</v>
      </c>
      <c r="J480" s="64">
        <v>1</v>
      </c>
      <c r="K480" s="64"/>
    </row>
    <row r="481" spans="1:11">
      <c r="A481" s="64" t="s">
        <v>2027</v>
      </c>
      <c r="B481" s="64" t="s">
        <v>2107</v>
      </c>
      <c r="C481" s="64" t="s">
        <v>1201</v>
      </c>
      <c r="D481" t="s">
        <v>2035</v>
      </c>
      <c r="E481" s="64">
        <v>0</v>
      </c>
      <c r="F481" s="64">
        <v>0</v>
      </c>
      <c r="G481" s="64">
        <v>1</v>
      </c>
      <c r="H481" s="64">
        <v>1</v>
      </c>
      <c r="I481" s="64">
        <v>0</v>
      </c>
      <c r="J481" s="64">
        <v>0</v>
      </c>
      <c r="K481" s="64"/>
    </row>
    <row r="482" spans="1:11">
      <c r="A482" s="64" t="s">
        <v>2027</v>
      </c>
      <c r="B482" s="64" t="s">
        <v>2107</v>
      </c>
      <c r="C482" s="64" t="s">
        <v>1201</v>
      </c>
      <c r="D482" t="s">
        <v>2036</v>
      </c>
      <c r="E482" s="64">
        <v>0</v>
      </c>
      <c r="F482" s="64">
        <v>0</v>
      </c>
      <c r="G482" s="64">
        <v>1</v>
      </c>
      <c r="H482" s="64">
        <v>1</v>
      </c>
      <c r="I482" s="64">
        <v>0</v>
      </c>
      <c r="J482" s="64">
        <v>0</v>
      </c>
      <c r="K482" s="64"/>
    </row>
    <row r="483" spans="1:11">
      <c r="A483" s="64" t="s">
        <v>2027</v>
      </c>
      <c r="B483" s="64" t="s">
        <v>2107</v>
      </c>
      <c r="C483" s="64" t="s">
        <v>1201</v>
      </c>
      <c r="D483" t="s">
        <v>2037</v>
      </c>
      <c r="E483" s="64">
        <v>0</v>
      </c>
      <c r="F483" s="64">
        <v>1</v>
      </c>
      <c r="G483" s="64">
        <v>1</v>
      </c>
      <c r="H483" s="64">
        <v>1</v>
      </c>
      <c r="I483" s="64">
        <v>0</v>
      </c>
      <c r="J483" s="64">
        <v>0</v>
      </c>
      <c r="K483" s="64"/>
    </row>
    <row r="484" spans="1:11">
      <c r="A484" s="64" t="s">
        <v>2027</v>
      </c>
      <c r="B484" s="64" t="s">
        <v>2107</v>
      </c>
      <c r="C484" s="64" t="s">
        <v>1201</v>
      </c>
      <c r="D484" t="s">
        <v>2038</v>
      </c>
      <c r="E484" s="64">
        <v>1</v>
      </c>
      <c r="F484" s="64">
        <v>1</v>
      </c>
      <c r="G484" s="64">
        <v>0</v>
      </c>
      <c r="H484" s="64">
        <v>0</v>
      </c>
      <c r="I484" s="64">
        <v>0</v>
      </c>
      <c r="J484" s="64">
        <v>0</v>
      </c>
      <c r="K484" s="64" t="s">
        <v>1794</v>
      </c>
    </row>
    <row r="485" spans="1:11">
      <c r="A485" s="64" t="s">
        <v>2027</v>
      </c>
      <c r="B485" s="64" t="s">
        <v>2107</v>
      </c>
      <c r="C485" s="64" t="s">
        <v>1201</v>
      </c>
      <c r="D485" t="s">
        <v>2039</v>
      </c>
      <c r="E485" s="64">
        <v>0</v>
      </c>
      <c r="F485" s="64">
        <v>1</v>
      </c>
      <c r="G485" s="64">
        <v>0</v>
      </c>
      <c r="H485" s="64">
        <v>0</v>
      </c>
      <c r="I485" s="64">
        <v>1</v>
      </c>
      <c r="J485" s="64">
        <v>0</v>
      </c>
      <c r="K485" s="64"/>
    </row>
    <row r="486" spans="1:11">
      <c r="A486" s="64" t="s">
        <v>2027</v>
      </c>
      <c r="B486" s="64" t="s">
        <v>2107</v>
      </c>
      <c r="C486" s="64" t="s">
        <v>1201</v>
      </c>
      <c r="D486" t="s">
        <v>2040</v>
      </c>
      <c r="E486" s="64">
        <v>1</v>
      </c>
      <c r="F486" s="64">
        <v>0</v>
      </c>
      <c r="G486" s="64">
        <v>1</v>
      </c>
      <c r="H486" s="64">
        <v>1</v>
      </c>
      <c r="I486" s="64">
        <v>1</v>
      </c>
      <c r="J486" s="64">
        <v>1</v>
      </c>
      <c r="K486" s="64"/>
    </row>
    <row r="487" spans="1:11">
      <c r="A487" s="64" t="s">
        <v>2027</v>
      </c>
      <c r="B487" s="64" t="s">
        <v>2107</v>
      </c>
      <c r="C487" s="64" t="s">
        <v>1201</v>
      </c>
      <c r="D487" t="s">
        <v>2041</v>
      </c>
      <c r="E487" s="64">
        <v>1</v>
      </c>
      <c r="F487" s="64">
        <v>1</v>
      </c>
      <c r="G487" s="64">
        <v>1</v>
      </c>
      <c r="H487" s="64">
        <v>1</v>
      </c>
      <c r="I487" s="64">
        <v>1</v>
      </c>
      <c r="J487" s="64">
        <v>1</v>
      </c>
      <c r="K487" s="64"/>
    </row>
    <row r="488" spans="1:11">
      <c r="A488" s="64" t="s">
        <v>2027</v>
      </c>
      <c r="B488" s="64" t="s">
        <v>2107</v>
      </c>
      <c r="C488" s="64" t="s">
        <v>1201</v>
      </c>
      <c r="D488" t="s">
        <v>2042</v>
      </c>
      <c r="E488" s="64">
        <v>1</v>
      </c>
      <c r="F488" s="64">
        <v>1</v>
      </c>
      <c r="G488" s="64">
        <v>0</v>
      </c>
      <c r="H488" s="64">
        <v>0</v>
      </c>
      <c r="I488" s="64">
        <v>0</v>
      </c>
      <c r="J488" s="64">
        <v>1</v>
      </c>
      <c r="K488" s="64"/>
    </row>
    <row r="489" spans="1:11">
      <c r="A489" s="64" t="s">
        <v>2027</v>
      </c>
      <c r="B489" s="64" t="s">
        <v>2107</v>
      </c>
      <c r="C489" s="64" t="s">
        <v>1201</v>
      </c>
      <c r="D489" t="s">
        <v>507</v>
      </c>
      <c r="E489" s="64">
        <v>0</v>
      </c>
      <c r="F489" s="64">
        <v>1</v>
      </c>
      <c r="G489" s="64">
        <v>1</v>
      </c>
      <c r="H489" s="64">
        <v>1</v>
      </c>
      <c r="I489" s="64">
        <v>0</v>
      </c>
      <c r="J489" s="64">
        <v>0</v>
      </c>
      <c r="K489" s="64"/>
    </row>
    <row r="490" spans="1:11">
      <c r="A490" s="64" t="s">
        <v>2027</v>
      </c>
      <c r="B490" s="64" t="s">
        <v>2107</v>
      </c>
      <c r="C490" s="64" t="s">
        <v>1201</v>
      </c>
      <c r="D490" t="s">
        <v>2044</v>
      </c>
      <c r="E490" s="64">
        <v>1</v>
      </c>
      <c r="F490" s="64">
        <v>1</v>
      </c>
      <c r="G490" s="64">
        <v>0</v>
      </c>
      <c r="H490" s="64">
        <v>0</v>
      </c>
      <c r="I490" s="64">
        <v>0</v>
      </c>
      <c r="J490" s="64">
        <v>1</v>
      </c>
      <c r="K490" s="64"/>
    </row>
    <row r="491" spans="1:11">
      <c r="A491" s="64" t="s">
        <v>2027</v>
      </c>
      <c r="B491" s="64" t="s">
        <v>2107</v>
      </c>
      <c r="C491" s="64" t="s">
        <v>1201</v>
      </c>
      <c r="D491" t="s">
        <v>168</v>
      </c>
      <c r="E491" s="64">
        <v>1</v>
      </c>
      <c r="F491" s="64">
        <v>1</v>
      </c>
      <c r="G491" s="64">
        <v>1</v>
      </c>
      <c r="H491" s="64">
        <v>1</v>
      </c>
      <c r="I491" s="64">
        <v>0</v>
      </c>
      <c r="J491" s="64">
        <v>0</v>
      </c>
      <c r="K491" s="64"/>
    </row>
    <row r="492" spans="1:11">
      <c r="A492" s="64" t="s">
        <v>2027</v>
      </c>
      <c r="B492" s="64" t="s">
        <v>2107</v>
      </c>
      <c r="C492" s="64" t="s">
        <v>1201</v>
      </c>
      <c r="D492" t="s">
        <v>502</v>
      </c>
      <c r="E492" s="64">
        <v>1</v>
      </c>
      <c r="F492" s="64">
        <v>0</v>
      </c>
      <c r="G492" s="64">
        <v>1</v>
      </c>
      <c r="H492" s="64">
        <v>1</v>
      </c>
      <c r="I492" s="64">
        <v>0</v>
      </c>
      <c r="J492" s="64">
        <v>1</v>
      </c>
      <c r="K492" s="64"/>
    </row>
    <row r="493" spans="1:11">
      <c r="A493" s="64" t="s">
        <v>2027</v>
      </c>
      <c r="B493" s="64" t="s">
        <v>2107</v>
      </c>
      <c r="C493" s="64" t="s">
        <v>1201</v>
      </c>
      <c r="D493" t="s">
        <v>2132</v>
      </c>
    </row>
    <row r="494" spans="1:11">
      <c r="A494" s="64" t="s">
        <v>2027</v>
      </c>
      <c r="B494" s="64" t="s">
        <v>2107</v>
      </c>
      <c r="C494" s="64" t="s">
        <v>1201</v>
      </c>
      <c r="D494" t="s">
        <v>512</v>
      </c>
      <c r="E494" s="64">
        <v>1</v>
      </c>
      <c r="F494" s="64">
        <v>1</v>
      </c>
      <c r="G494" s="64">
        <v>1</v>
      </c>
      <c r="H494" s="64">
        <v>1</v>
      </c>
      <c r="I494" s="64">
        <v>1</v>
      </c>
      <c r="J494" s="64">
        <v>1</v>
      </c>
      <c r="K494" s="64"/>
    </row>
    <row r="495" spans="1:11">
      <c r="A495" s="64" t="s">
        <v>2027</v>
      </c>
      <c r="B495" s="64" t="s">
        <v>2107</v>
      </c>
      <c r="C495" s="64" t="s">
        <v>1201</v>
      </c>
      <c r="D495" t="s">
        <v>2046</v>
      </c>
      <c r="E495" s="64">
        <v>1</v>
      </c>
      <c r="F495" s="64">
        <v>1</v>
      </c>
      <c r="G495" s="64">
        <v>0</v>
      </c>
      <c r="H495" s="64">
        <v>0</v>
      </c>
      <c r="I495" s="64">
        <v>1</v>
      </c>
      <c r="J495" s="64">
        <v>0</v>
      </c>
      <c r="K495" s="64"/>
    </row>
    <row r="496" spans="1:11">
      <c r="A496" s="64" t="s">
        <v>2027</v>
      </c>
      <c r="B496" s="64" t="s">
        <v>2107</v>
      </c>
      <c r="C496" s="64" t="s">
        <v>1201</v>
      </c>
      <c r="D496" t="s">
        <v>2047</v>
      </c>
      <c r="E496" s="64">
        <v>0</v>
      </c>
      <c r="F496" s="64">
        <v>1</v>
      </c>
      <c r="G496" s="64">
        <v>0</v>
      </c>
      <c r="H496" s="64">
        <v>1</v>
      </c>
      <c r="I496" s="64">
        <v>0</v>
      </c>
      <c r="J496" s="64">
        <v>1</v>
      </c>
      <c r="K496" s="64"/>
    </row>
    <row r="497" spans="1:11">
      <c r="A497" s="64" t="s">
        <v>2027</v>
      </c>
      <c r="B497" s="64" t="s">
        <v>2107</v>
      </c>
      <c r="C497" s="64" t="s">
        <v>1201</v>
      </c>
      <c r="D497" t="s">
        <v>2048</v>
      </c>
      <c r="E497" s="64">
        <v>1</v>
      </c>
      <c r="F497" s="64">
        <v>1</v>
      </c>
      <c r="G497" s="64">
        <v>0</v>
      </c>
      <c r="H497" s="64"/>
      <c r="I497" s="64"/>
      <c r="J497" s="64"/>
      <c r="K497" s="64"/>
    </row>
    <row r="498" spans="1:11">
      <c r="A498" s="64" t="s">
        <v>2027</v>
      </c>
      <c r="B498" s="64" t="s">
        <v>2107</v>
      </c>
      <c r="C498" s="64" t="s">
        <v>1201</v>
      </c>
      <c r="D498" t="s">
        <v>2130</v>
      </c>
    </row>
    <row r="499" spans="1:11">
      <c r="A499" s="64" t="s">
        <v>2027</v>
      </c>
      <c r="B499" s="64" t="s">
        <v>2107</v>
      </c>
      <c r="C499" s="64" t="s">
        <v>1201</v>
      </c>
      <c r="D499" t="s">
        <v>2049</v>
      </c>
      <c r="E499" s="64">
        <v>1</v>
      </c>
      <c r="F499" s="64">
        <v>1</v>
      </c>
      <c r="G499" s="64">
        <v>0</v>
      </c>
      <c r="H499" s="64"/>
      <c r="I499" s="64"/>
      <c r="J499" s="64"/>
      <c r="K499" s="64"/>
    </row>
    <row r="500" spans="1:11">
      <c r="A500" s="64" t="s">
        <v>2027</v>
      </c>
      <c r="B500" s="64" t="s">
        <v>2107</v>
      </c>
      <c r="C500" s="64" t="s">
        <v>1201</v>
      </c>
      <c r="D500" t="s">
        <v>2137</v>
      </c>
    </row>
    <row r="501" spans="1:11">
      <c r="A501" s="64" t="s">
        <v>2027</v>
      </c>
      <c r="B501" s="64" t="s">
        <v>2107</v>
      </c>
      <c r="C501" s="64" t="s">
        <v>1201</v>
      </c>
      <c r="D501" t="s">
        <v>2050</v>
      </c>
      <c r="E501" s="64">
        <v>1</v>
      </c>
      <c r="F501" s="64">
        <v>1</v>
      </c>
      <c r="G501" s="64">
        <v>1</v>
      </c>
      <c r="H501" s="64"/>
      <c r="I501" s="64"/>
      <c r="J501" s="64"/>
      <c r="K501" s="64"/>
    </row>
    <row r="502" spans="1:11">
      <c r="A502" s="64" t="s">
        <v>2027</v>
      </c>
      <c r="B502" s="64" t="s">
        <v>2107</v>
      </c>
      <c r="C502" s="64" t="s">
        <v>1201</v>
      </c>
      <c r="D502" t="s">
        <v>2052</v>
      </c>
      <c r="E502" s="64">
        <v>1</v>
      </c>
      <c r="F502" s="64">
        <v>1</v>
      </c>
      <c r="G502" s="64">
        <v>0</v>
      </c>
      <c r="H502" s="64"/>
      <c r="I502" s="64"/>
      <c r="J502" s="64"/>
      <c r="K502" s="64"/>
    </row>
    <row r="503" spans="1:11">
      <c r="A503" s="64" t="s">
        <v>2027</v>
      </c>
      <c r="B503" s="64" t="s">
        <v>2107</v>
      </c>
      <c r="C503" s="64" t="s">
        <v>1201</v>
      </c>
      <c r="D503" t="s">
        <v>2104</v>
      </c>
    </row>
    <row r="504" spans="1:11">
      <c r="A504" s="64" t="s">
        <v>2027</v>
      </c>
      <c r="B504" s="64" t="s">
        <v>2107</v>
      </c>
      <c r="C504" s="64" t="s">
        <v>1201</v>
      </c>
      <c r="D504" t="s">
        <v>2053</v>
      </c>
      <c r="E504" s="64">
        <v>0</v>
      </c>
      <c r="F504" s="64">
        <v>1</v>
      </c>
      <c r="G504" s="64">
        <v>1</v>
      </c>
      <c r="H504" s="64"/>
      <c r="I504" s="64"/>
      <c r="J504" s="64"/>
      <c r="K504" s="64"/>
    </row>
    <row r="505" spans="1:11">
      <c r="A505" s="64" t="s">
        <v>2027</v>
      </c>
      <c r="B505" s="64" t="s">
        <v>2107</v>
      </c>
      <c r="C505" s="64" t="s">
        <v>1201</v>
      </c>
      <c r="D505" t="s">
        <v>2056</v>
      </c>
      <c r="E505" s="64">
        <v>0</v>
      </c>
      <c r="F505" s="64">
        <v>1</v>
      </c>
      <c r="G505" s="64">
        <v>1</v>
      </c>
      <c r="H505" s="64"/>
      <c r="I505" s="64"/>
      <c r="J505" s="64"/>
      <c r="K505" s="64"/>
    </row>
    <row r="506" spans="1:11">
      <c r="A506" s="64" t="s">
        <v>2027</v>
      </c>
      <c r="B506" s="64" t="s">
        <v>2107</v>
      </c>
      <c r="C506" s="64" t="s">
        <v>1201</v>
      </c>
      <c r="D506" t="s">
        <v>511</v>
      </c>
      <c r="E506" s="64">
        <v>1</v>
      </c>
      <c r="F506" s="64">
        <v>0</v>
      </c>
      <c r="G506" s="64">
        <v>1</v>
      </c>
      <c r="H506" s="64"/>
      <c r="I506" s="64"/>
      <c r="J506" s="64"/>
      <c r="K506" s="64"/>
    </row>
    <row r="507" spans="1:11">
      <c r="A507" s="64" t="s">
        <v>2027</v>
      </c>
      <c r="B507" s="64" t="s">
        <v>2107</v>
      </c>
      <c r="C507" s="64" t="s">
        <v>1201</v>
      </c>
      <c r="D507" t="s">
        <v>2208</v>
      </c>
    </row>
    <row r="508" spans="1:11">
      <c r="A508" s="64" t="s">
        <v>2027</v>
      </c>
      <c r="B508" s="64" t="s">
        <v>2107</v>
      </c>
      <c r="C508" s="64" t="s">
        <v>1201</v>
      </c>
      <c r="D508" t="s">
        <v>2059</v>
      </c>
      <c r="E508" s="64">
        <v>1</v>
      </c>
      <c r="F508" s="64">
        <v>1</v>
      </c>
      <c r="G508" s="64">
        <v>1</v>
      </c>
      <c r="H508" s="64"/>
      <c r="I508" s="64"/>
      <c r="J508" s="64"/>
      <c r="K508" s="64"/>
    </row>
    <row r="509" spans="1:11">
      <c r="A509" s="64" t="s">
        <v>2027</v>
      </c>
      <c r="B509" s="64" t="s">
        <v>2107</v>
      </c>
      <c r="C509" s="64" t="s">
        <v>1201</v>
      </c>
      <c r="D509" t="s">
        <v>2138</v>
      </c>
    </row>
    <row r="510" spans="1:11">
      <c r="A510" s="64" t="s">
        <v>2027</v>
      </c>
      <c r="B510" s="64" t="s">
        <v>2107</v>
      </c>
      <c r="C510" s="64" t="s">
        <v>1201</v>
      </c>
      <c r="D510" t="s">
        <v>2060</v>
      </c>
      <c r="E510" s="64"/>
      <c r="F510" s="64"/>
      <c r="G510" s="64"/>
      <c r="H510" s="64"/>
      <c r="I510" s="64"/>
      <c r="J510" s="64"/>
      <c r="K510" s="64"/>
    </row>
    <row r="511" spans="1:11">
      <c r="A511" s="64" t="s">
        <v>2027</v>
      </c>
      <c r="B511" s="64" t="s">
        <v>2107</v>
      </c>
      <c r="C511" s="64" t="s">
        <v>1201</v>
      </c>
      <c r="D511" t="s">
        <v>2061</v>
      </c>
      <c r="E511" s="64"/>
      <c r="F511" s="64"/>
      <c r="G511" s="64"/>
      <c r="H511" s="64"/>
      <c r="I511" s="64"/>
      <c r="J511" s="64"/>
      <c r="K511" s="64"/>
    </row>
    <row r="512" spans="1:11">
      <c r="A512" s="64" t="s">
        <v>2027</v>
      </c>
      <c r="B512" s="64" t="s">
        <v>2107</v>
      </c>
      <c r="C512" s="64" t="s">
        <v>1201</v>
      </c>
      <c r="D512" t="s">
        <v>506</v>
      </c>
      <c r="E512" s="64">
        <v>1</v>
      </c>
      <c r="F512" s="64">
        <v>1</v>
      </c>
      <c r="G512" s="64">
        <v>1</v>
      </c>
      <c r="H512" s="64"/>
      <c r="I512" s="64"/>
      <c r="J512" s="64"/>
      <c r="K512" s="64"/>
    </row>
    <row r="513" spans="1:11">
      <c r="A513" s="64" t="s">
        <v>2027</v>
      </c>
      <c r="B513" s="64" t="s">
        <v>2107</v>
      </c>
      <c r="C513" s="64" t="s">
        <v>1201</v>
      </c>
      <c r="D513" t="s">
        <v>2133</v>
      </c>
    </row>
    <row r="514" spans="1:11">
      <c r="A514" s="64" t="s">
        <v>2027</v>
      </c>
      <c r="B514" s="64" t="s">
        <v>2107</v>
      </c>
      <c r="C514" s="64" t="s">
        <v>1201</v>
      </c>
      <c r="D514" t="s">
        <v>2131</v>
      </c>
    </row>
    <row r="515" spans="1:11">
      <c r="A515" s="64" t="s">
        <v>2027</v>
      </c>
      <c r="B515" s="64" t="s">
        <v>2107</v>
      </c>
      <c r="C515" s="64" t="s">
        <v>1201</v>
      </c>
      <c r="D515" t="s">
        <v>552</v>
      </c>
      <c r="E515" s="64"/>
      <c r="F515" s="64"/>
      <c r="G515" s="64"/>
      <c r="H515" s="64"/>
      <c r="I515" s="64"/>
      <c r="J515" s="64"/>
      <c r="K515" s="64"/>
    </row>
    <row r="516" spans="1:11">
      <c r="A516" s="64" t="s">
        <v>2027</v>
      </c>
      <c r="B516" s="64" t="s">
        <v>2107</v>
      </c>
      <c r="C516" s="64" t="s">
        <v>1201</v>
      </c>
      <c r="D516" t="s">
        <v>2066</v>
      </c>
      <c r="E516" s="64"/>
      <c r="F516" s="64"/>
      <c r="G516" s="64"/>
      <c r="H516" s="64"/>
      <c r="I516" s="64"/>
      <c r="J516" s="64"/>
      <c r="K516" s="64"/>
    </row>
    <row r="517" spans="1:11">
      <c r="A517" s="64" t="s">
        <v>2027</v>
      </c>
      <c r="B517" s="64" t="s">
        <v>2107</v>
      </c>
      <c r="C517" s="64" t="s">
        <v>1201</v>
      </c>
      <c r="D517" t="s">
        <v>2068</v>
      </c>
      <c r="E517" s="64"/>
      <c r="F517" s="64"/>
      <c r="G517" s="64"/>
      <c r="H517" s="64"/>
      <c r="I517" s="64"/>
      <c r="J517" s="64"/>
      <c r="K517" s="64"/>
    </row>
    <row r="518" spans="1:11">
      <c r="A518" s="64" t="s">
        <v>2027</v>
      </c>
      <c r="B518" s="64" t="s">
        <v>2107</v>
      </c>
      <c r="C518" s="64" t="s">
        <v>1201</v>
      </c>
      <c r="D518" t="s">
        <v>2069</v>
      </c>
      <c r="E518" s="64"/>
      <c r="F518" s="64"/>
      <c r="G518" s="64"/>
      <c r="H518" s="64">
        <v>0</v>
      </c>
      <c r="I518" s="64">
        <v>1</v>
      </c>
      <c r="J518" s="64">
        <v>1</v>
      </c>
      <c r="K518" s="64"/>
    </row>
    <row r="519" spans="1:11">
      <c r="A519" s="64" t="s">
        <v>2027</v>
      </c>
      <c r="B519" s="64" t="s">
        <v>2107</v>
      </c>
      <c r="C519" s="64" t="s">
        <v>1201</v>
      </c>
      <c r="D519" t="s">
        <v>2071</v>
      </c>
      <c r="E519" s="64"/>
      <c r="F519" s="64"/>
      <c r="G519" s="64"/>
      <c r="H519" s="64">
        <v>1</v>
      </c>
      <c r="I519" s="64">
        <v>0</v>
      </c>
      <c r="J519" s="64">
        <v>1</v>
      </c>
      <c r="K519" s="64"/>
    </row>
    <row r="520" spans="1:11">
      <c r="A520" s="64" t="s">
        <v>2027</v>
      </c>
      <c r="B520" s="64" t="s">
        <v>2107</v>
      </c>
      <c r="C520" s="64" t="s">
        <v>1201</v>
      </c>
      <c r="D520" t="s">
        <v>2072</v>
      </c>
      <c r="E520" s="64"/>
      <c r="F520" s="64"/>
      <c r="G520" s="64"/>
      <c r="H520" s="64"/>
      <c r="I520" s="64"/>
      <c r="J520" s="64"/>
      <c r="K520" s="64"/>
    </row>
    <row r="521" spans="1:11">
      <c r="A521" s="64" t="s">
        <v>2027</v>
      </c>
      <c r="B521" s="64" t="s">
        <v>2107</v>
      </c>
      <c r="C521" s="64" t="s">
        <v>1201</v>
      </c>
      <c r="D521" t="s">
        <v>2073</v>
      </c>
      <c r="E521" s="64"/>
      <c r="F521" s="64"/>
      <c r="G521" s="64"/>
      <c r="H521" s="64"/>
      <c r="I521" s="64"/>
      <c r="J521" s="64"/>
      <c r="K521" s="64"/>
    </row>
    <row r="522" spans="1:11">
      <c r="A522" s="64" t="s">
        <v>2027</v>
      </c>
      <c r="B522" s="64" t="s">
        <v>2107</v>
      </c>
      <c r="C522" s="64" t="s">
        <v>1201</v>
      </c>
      <c r="D522" t="s">
        <v>2075</v>
      </c>
      <c r="E522" s="64"/>
      <c r="F522" s="64"/>
      <c r="G522" s="64"/>
      <c r="H522" s="64">
        <v>0</v>
      </c>
      <c r="I522" s="64">
        <v>0</v>
      </c>
      <c r="J522" s="64">
        <v>1</v>
      </c>
      <c r="K522" s="64"/>
    </row>
    <row r="523" spans="1:11">
      <c r="A523" s="64" t="s">
        <v>2027</v>
      </c>
      <c r="B523" s="64" t="s">
        <v>2107</v>
      </c>
      <c r="C523" s="64" t="s">
        <v>1201</v>
      </c>
      <c r="D523" t="s">
        <v>518</v>
      </c>
      <c r="E523" s="64">
        <v>1</v>
      </c>
      <c r="F523" s="64">
        <v>0</v>
      </c>
      <c r="G523" s="64">
        <v>0</v>
      </c>
      <c r="H523" s="64"/>
      <c r="I523" s="64"/>
      <c r="J523" s="64"/>
      <c r="K523" s="64"/>
    </row>
    <row r="524" spans="1:11">
      <c r="A524" s="64" t="s">
        <v>2027</v>
      </c>
      <c r="B524" s="64" t="s">
        <v>2107</v>
      </c>
      <c r="C524" s="64" t="s">
        <v>1201</v>
      </c>
      <c r="D524" t="s">
        <v>1028</v>
      </c>
      <c r="E524" s="64"/>
      <c r="F524" s="64"/>
      <c r="G524" s="64"/>
      <c r="H524" s="64">
        <v>1</v>
      </c>
      <c r="I524" s="64">
        <v>1</v>
      </c>
      <c r="J524" s="64">
        <v>0</v>
      </c>
      <c r="K524" s="64"/>
    </row>
    <row r="525" spans="1:11">
      <c r="A525" s="64" t="s">
        <v>2027</v>
      </c>
      <c r="B525" s="64" t="s">
        <v>2107</v>
      </c>
      <c r="C525" s="64" t="s">
        <v>1201</v>
      </c>
      <c r="D525" t="s">
        <v>1028</v>
      </c>
      <c r="E525" s="64">
        <v>1</v>
      </c>
      <c r="F525" s="64">
        <v>1</v>
      </c>
      <c r="G525" s="64">
        <v>1</v>
      </c>
      <c r="H525" s="64"/>
      <c r="I525" s="64"/>
      <c r="J525" s="64"/>
      <c r="K525" s="64"/>
    </row>
    <row r="526" spans="1:11">
      <c r="A526" s="64" t="s">
        <v>2027</v>
      </c>
      <c r="B526" s="64" t="s">
        <v>2107</v>
      </c>
      <c r="C526" s="64" t="s">
        <v>1201</v>
      </c>
      <c r="D526" t="s">
        <v>2077</v>
      </c>
      <c r="E526" s="64"/>
      <c r="F526" s="64"/>
      <c r="G526" s="64"/>
      <c r="H526" s="64">
        <v>0</v>
      </c>
      <c r="I526" s="64">
        <v>0</v>
      </c>
      <c r="J526" s="64">
        <v>1</v>
      </c>
      <c r="K526" s="64"/>
    </row>
    <row r="527" spans="1:11">
      <c r="A527" s="64" t="s">
        <v>2027</v>
      </c>
      <c r="B527" s="64" t="s">
        <v>2107</v>
      </c>
      <c r="C527" s="64" t="s">
        <v>1201</v>
      </c>
      <c r="D527" t="s">
        <v>509</v>
      </c>
      <c r="E527" s="64">
        <v>1</v>
      </c>
      <c r="F527" s="64">
        <v>0</v>
      </c>
      <c r="G527" s="64">
        <v>0</v>
      </c>
      <c r="H527" s="64"/>
      <c r="I527" s="64"/>
      <c r="J527" s="64"/>
      <c r="K527" s="64"/>
    </row>
    <row r="528" spans="1:11">
      <c r="A528" s="64" t="s">
        <v>2027</v>
      </c>
      <c r="B528" s="64" t="s">
        <v>2107</v>
      </c>
      <c r="C528" s="64" t="s">
        <v>1201</v>
      </c>
      <c r="D528" t="s">
        <v>2080</v>
      </c>
      <c r="E528" s="64"/>
      <c r="F528" s="64"/>
      <c r="G528" s="64"/>
      <c r="H528" s="64"/>
      <c r="I528" s="64"/>
      <c r="J528" s="64"/>
      <c r="K528" s="64"/>
    </row>
    <row r="529" spans="1:11">
      <c r="A529" s="64" t="s">
        <v>2027</v>
      </c>
      <c r="B529" s="64" t="s">
        <v>2107</v>
      </c>
      <c r="C529" s="64" t="s">
        <v>1201</v>
      </c>
      <c r="D529" t="s">
        <v>2084</v>
      </c>
      <c r="E529" s="64"/>
      <c r="F529" s="64"/>
      <c r="G529" s="64"/>
      <c r="H529" s="64">
        <v>1</v>
      </c>
      <c r="I529" s="64">
        <v>1</v>
      </c>
      <c r="J529" s="64">
        <v>0</v>
      </c>
      <c r="K529" s="64"/>
    </row>
    <row r="530" spans="1:11">
      <c r="A530" s="64" t="s">
        <v>2027</v>
      </c>
      <c r="B530" s="64" t="s">
        <v>2107</v>
      </c>
      <c r="C530" s="64" t="s">
        <v>1201</v>
      </c>
      <c r="D530" t="s">
        <v>2085</v>
      </c>
      <c r="E530" s="64"/>
      <c r="F530" s="64"/>
      <c r="G530" s="64"/>
      <c r="H530" s="64">
        <v>1</v>
      </c>
      <c r="I530" s="64">
        <v>0</v>
      </c>
      <c r="J530" s="64">
        <v>1</v>
      </c>
      <c r="K530" s="64"/>
    </row>
    <row r="531" spans="1:11">
      <c r="A531" s="64" t="s">
        <v>2027</v>
      </c>
      <c r="B531" s="64" t="s">
        <v>2107</v>
      </c>
      <c r="C531" s="64" t="s">
        <v>1201</v>
      </c>
      <c r="D531" t="s">
        <v>2086</v>
      </c>
      <c r="E531" s="64"/>
      <c r="F531" s="64"/>
      <c r="G531" s="64"/>
      <c r="H531" s="64"/>
      <c r="I531" s="64"/>
      <c r="J531" s="64"/>
      <c r="K531" s="64"/>
    </row>
    <row r="532" spans="1:11">
      <c r="A532" s="64" t="s">
        <v>2027</v>
      </c>
      <c r="B532" s="64" t="s">
        <v>2107</v>
      </c>
      <c r="C532" s="64" t="s">
        <v>1201</v>
      </c>
      <c r="D532" t="s">
        <v>2087</v>
      </c>
      <c r="E532" s="64"/>
      <c r="F532" s="64"/>
      <c r="G532" s="64"/>
      <c r="H532" s="64">
        <v>0</v>
      </c>
      <c r="I532" s="64">
        <v>1</v>
      </c>
      <c r="J532" s="64">
        <v>0</v>
      </c>
      <c r="K532" s="64"/>
    </row>
    <row r="533" spans="1:11">
      <c r="A533" s="64" t="s">
        <v>2027</v>
      </c>
      <c r="B533" s="64" t="s">
        <v>2107</v>
      </c>
      <c r="C533" s="64" t="s">
        <v>1201</v>
      </c>
      <c r="D533" t="s">
        <v>2088</v>
      </c>
      <c r="E533" s="64"/>
      <c r="F533" s="64"/>
      <c r="G533" s="64"/>
      <c r="H533" s="64"/>
      <c r="I533" s="64"/>
      <c r="J533" s="64"/>
      <c r="K533" s="64"/>
    </row>
    <row r="534" spans="1:11">
      <c r="A534" s="64" t="s">
        <v>2027</v>
      </c>
      <c r="B534" s="64" t="s">
        <v>2107</v>
      </c>
      <c r="C534" s="64" t="s">
        <v>1201</v>
      </c>
      <c r="D534" t="s">
        <v>2089</v>
      </c>
      <c r="E534" s="64"/>
      <c r="F534" s="64"/>
      <c r="G534" s="64"/>
      <c r="H534" s="64">
        <v>1</v>
      </c>
      <c r="I534" s="64">
        <v>0</v>
      </c>
      <c r="J534" s="64">
        <v>1</v>
      </c>
      <c r="K534" s="64"/>
    </row>
    <row r="535" spans="1:11">
      <c r="A535" s="64" t="s">
        <v>2027</v>
      </c>
      <c r="B535" s="64" t="s">
        <v>2107</v>
      </c>
      <c r="C535" s="64" t="s">
        <v>1201</v>
      </c>
      <c r="D535" t="s">
        <v>2090</v>
      </c>
      <c r="E535" s="64"/>
      <c r="F535" s="64"/>
      <c r="G535" s="64"/>
      <c r="H535" s="64"/>
      <c r="I535" s="64"/>
      <c r="J535" s="64"/>
      <c r="K535" s="64"/>
    </row>
    <row r="536" spans="1:11">
      <c r="A536" s="64" t="s">
        <v>2027</v>
      </c>
      <c r="B536" s="64" t="s">
        <v>2107</v>
      </c>
      <c r="C536" s="64" t="s">
        <v>1201</v>
      </c>
      <c r="D536" t="s">
        <v>2091</v>
      </c>
      <c r="E536" s="64"/>
      <c r="F536" s="64"/>
      <c r="G536" s="64"/>
      <c r="H536" s="64">
        <v>1</v>
      </c>
      <c r="I536" s="64">
        <v>1</v>
      </c>
      <c r="J536" s="64">
        <v>1</v>
      </c>
      <c r="K536" s="64"/>
    </row>
    <row r="537" spans="1:11">
      <c r="A537" s="64" t="s">
        <v>2027</v>
      </c>
      <c r="B537" s="64" t="s">
        <v>2107</v>
      </c>
      <c r="C537" s="64" t="s">
        <v>1201</v>
      </c>
      <c r="D537" t="s">
        <v>2092</v>
      </c>
      <c r="E537" s="64"/>
      <c r="F537" s="64"/>
      <c r="G537" s="64"/>
      <c r="H537" s="64"/>
      <c r="I537" s="64"/>
      <c r="J537" s="64"/>
      <c r="K537" s="64"/>
    </row>
    <row r="538" spans="1:11">
      <c r="A538" s="64" t="s">
        <v>2027</v>
      </c>
      <c r="B538" s="64" t="s">
        <v>2107</v>
      </c>
      <c r="C538" s="64" t="s">
        <v>1201</v>
      </c>
      <c r="D538" t="s">
        <v>2098</v>
      </c>
      <c r="E538" s="64"/>
      <c r="F538" s="64"/>
      <c r="G538" s="64"/>
      <c r="H538" s="64">
        <v>0</v>
      </c>
      <c r="I538" s="64">
        <v>0</v>
      </c>
      <c r="J538" s="64">
        <v>1</v>
      </c>
      <c r="K538" s="64"/>
    </row>
    <row r="539" spans="1:11">
      <c r="A539" s="64" t="s">
        <v>2027</v>
      </c>
      <c r="B539" s="64" t="s">
        <v>2107</v>
      </c>
      <c r="C539" s="64" t="s">
        <v>1201</v>
      </c>
      <c r="D539" t="s">
        <v>2099</v>
      </c>
      <c r="E539" s="64"/>
      <c r="F539" s="64"/>
      <c r="G539" s="64"/>
      <c r="H539" s="64"/>
      <c r="I539" s="64"/>
      <c r="J539" s="64"/>
      <c r="K539" s="64"/>
    </row>
    <row r="540" spans="1:11">
      <c r="A540" s="64" t="s">
        <v>2027</v>
      </c>
      <c r="B540" s="64" t="s">
        <v>2107</v>
      </c>
      <c r="C540" s="64" t="s">
        <v>1201</v>
      </c>
      <c r="D540" t="s">
        <v>2100</v>
      </c>
      <c r="E540" s="64">
        <v>1</v>
      </c>
      <c r="F540" s="64">
        <v>1</v>
      </c>
      <c r="G540" s="64">
        <v>1</v>
      </c>
      <c r="H540" s="64"/>
      <c r="I540" s="64"/>
      <c r="J540" s="64"/>
      <c r="K540" s="64"/>
    </row>
    <row r="541" spans="1:11">
      <c r="A541" s="64" t="s">
        <v>2027</v>
      </c>
      <c r="B541" s="64" t="s">
        <v>2107</v>
      </c>
      <c r="C541" s="64" t="s">
        <v>1201</v>
      </c>
      <c r="D541" t="s">
        <v>2101</v>
      </c>
      <c r="E541" s="64"/>
      <c r="F541" s="64"/>
      <c r="G541" s="64"/>
      <c r="H541" s="64"/>
      <c r="I541" s="64"/>
      <c r="J541" s="64"/>
      <c r="K541" s="64"/>
    </row>
    <row r="542" spans="1:11">
      <c r="A542" s="64" t="s">
        <v>2027</v>
      </c>
      <c r="B542" s="64" t="s">
        <v>2107</v>
      </c>
      <c r="C542" s="64" t="s">
        <v>1201</v>
      </c>
      <c r="D542" t="s">
        <v>1690</v>
      </c>
      <c r="E542" s="64"/>
      <c r="F542" s="64"/>
      <c r="G542" s="64"/>
      <c r="H542" s="64"/>
      <c r="I542" s="64"/>
      <c r="J542" s="64"/>
      <c r="K542" s="64"/>
    </row>
    <row r="543" spans="1:11">
      <c r="A543" s="64" t="s">
        <v>2027</v>
      </c>
      <c r="B543" s="64" t="s">
        <v>2107</v>
      </c>
      <c r="C543" s="64" t="s">
        <v>1201</v>
      </c>
      <c r="D543" t="s">
        <v>2102</v>
      </c>
      <c r="E543" s="64"/>
      <c r="F543" s="64"/>
      <c r="G543" s="64"/>
      <c r="H543" s="64"/>
      <c r="I543" s="64"/>
      <c r="J543" s="64"/>
      <c r="K543" s="64"/>
    </row>
    <row r="544" spans="1:11">
      <c r="A544" s="65" t="s">
        <v>2028</v>
      </c>
      <c r="B544" s="64" t="s">
        <v>2107</v>
      </c>
      <c r="C544" t="s">
        <v>1638</v>
      </c>
      <c r="D544" t="s">
        <v>2244</v>
      </c>
    </row>
    <row r="545" spans="1:11">
      <c r="A545" s="65" t="s">
        <v>2028</v>
      </c>
      <c r="B545" s="64" t="s">
        <v>2107</v>
      </c>
      <c r="C545" s="65" t="s">
        <v>1339</v>
      </c>
      <c r="D545" t="s">
        <v>1801</v>
      </c>
      <c r="E545" s="64">
        <v>1</v>
      </c>
      <c r="F545" s="64">
        <v>0</v>
      </c>
      <c r="G545" s="64">
        <v>0</v>
      </c>
      <c r="H545" s="64">
        <v>0</v>
      </c>
      <c r="I545" s="64">
        <v>0</v>
      </c>
      <c r="J545" s="64">
        <v>1</v>
      </c>
      <c r="K545" s="64"/>
    </row>
    <row r="546" spans="1:11">
      <c r="A546" s="65" t="s">
        <v>2028</v>
      </c>
      <c r="B546" s="64" t="s">
        <v>2107</v>
      </c>
      <c r="C546" s="65" t="s">
        <v>1339</v>
      </c>
      <c r="D546" t="s">
        <v>1802</v>
      </c>
      <c r="E546" s="64">
        <v>1</v>
      </c>
      <c r="F546" s="64">
        <v>1</v>
      </c>
      <c r="G546" s="64">
        <v>0</v>
      </c>
      <c r="H546" s="64">
        <v>0</v>
      </c>
      <c r="I546" s="64">
        <v>0</v>
      </c>
      <c r="J546" s="64">
        <v>1</v>
      </c>
      <c r="K546" s="64"/>
    </row>
    <row r="547" spans="1:11">
      <c r="A547" s="65" t="s">
        <v>2028</v>
      </c>
      <c r="B547" s="64" t="s">
        <v>2107</v>
      </c>
      <c r="C547" s="70" t="s">
        <v>1339</v>
      </c>
      <c r="D547" t="s">
        <v>1805</v>
      </c>
      <c r="E547" s="64">
        <v>1</v>
      </c>
      <c r="F547" s="64">
        <v>0</v>
      </c>
      <c r="G547" s="64">
        <v>0</v>
      </c>
      <c r="H547" s="64">
        <v>0</v>
      </c>
      <c r="I547" s="64">
        <v>0</v>
      </c>
      <c r="J547" s="64">
        <v>1</v>
      </c>
      <c r="K547" s="64"/>
    </row>
    <row r="548" spans="1:11">
      <c r="A548" s="65" t="s">
        <v>2028</v>
      </c>
      <c r="B548" s="64" t="s">
        <v>2107</v>
      </c>
      <c r="C548" s="65" t="s">
        <v>1339</v>
      </c>
      <c r="D548" t="s">
        <v>1633</v>
      </c>
      <c r="E548" s="64">
        <v>1</v>
      </c>
      <c r="F548" s="64">
        <v>1</v>
      </c>
      <c r="G548" s="64">
        <v>0</v>
      </c>
      <c r="H548" s="64">
        <v>0</v>
      </c>
      <c r="I548" s="64">
        <v>1</v>
      </c>
      <c r="J548" s="64">
        <v>0</v>
      </c>
      <c r="K548" s="64"/>
    </row>
    <row r="549" spans="1:11">
      <c r="A549" s="65" t="s">
        <v>2028</v>
      </c>
      <c r="B549" s="64" t="s">
        <v>2107</v>
      </c>
      <c r="C549" s="65" t="s">
        <v>1339</v>
      </c>
      <c r="D549" t="s">
        <v>1807</v>
      </c>
      <c r="E549" s="64"/>
      <c r="F549" s="64"/>
      <c r="G549" s="64"/>
      <c r="H549" s="64"/>
      <c r="I549" s="64"/>
      <c r="J549" s="64"/>
      <c r="K549" s="64"/>
    </row>
    <row r="550" spans="1:11">
      <c r="A550" s="65" t="s">
        <v>2028</v>
      </c>
      <c r="B550" s="64" t="s">
        <v>2107</v>
      </c>
      <c r="C550" s="65" t="s">
        <v>1339</v>
      </c>
      <c r="D550" t="s">
        <v>601</v>
      </c>
      <c r="E550" s="64"/>
      <c r="F550" s="64"/>
      <c r="G550" s="64"/>
      <c r="H550" s="64"/>
      <c r="I550" s="64"/>
      <c r="J550" s="64"/>
      <c r="K550" s="64"/>
    </row>
    <row r="551" spans="1:11">
      <c r="A551" s="65" t="s">
        <v>2028</v>
      </c>
      <c r="B551" s="64" t="s">
        <v>2107</v>
      </c>
      <c r="C551" s="65" t="s">
        <v>1339</v>
      </c>
      <c r="D551" t="s">
        <v>1808</v>
      </c>
      <c r="E551" s="64"/>
      <c r="F551" s="64"/>
      <c r="G551" s="64"/>
      <c r="H551" s="64"/>
      <c r="I551" s="64"/>
      <c r="J551" s="64"/>
      <c r="K551" s="64"/>
    </row>
    <row r="552" spans="1:11">
      <c r="A552" s="65" t="s">
        <v>2028</v>
      </c>
      <c r="B552" s="64" t="s">
        <v>2107</v>
      </c>
      <c r="C552" s="65" t="s">
        <v>1339</v>
      </c>
      <c r="D552" t="s">
        <v>1814</v>
      </c>
      <c r="E552" s="64"/>
      <c r="F552" s="64"/>
      <c r="G552" s="64"/>
      <c r="H552" s="64"/>
      <c r="I552" s="64"/>
      <c r="J552" s="64"/>
      <c r="K552" s="64"/>
    </row>
    <row r="553" spans="1:11">
      <c r="A553" s="65" t="s">
        <v>2028</v>
      </c>
      <c r="B553" s="64" t="s">
        <v>2107</v>
      </c>
      <c r="C553" s="65" t="s">
        <v>1339</v>
      </c>
      <c r="D553" t="s">
        <v>1816</v>
      </c>
      <c r="E553" s="64"/>
      <c r="F553" s="64"/>
      <c r="G553" s="64"/>
      <c r="H553" s="64"/>
      <c r="I553" s="64"/>
      <c r="J553" s="64"/>
      <c r="K553" s="64"/>
    </row>
    <row r="554" spans="1:11">
      <c r="A554" s="65" t="s">
        <v>2028</v>
      </c>
      <c r="B554" s="64" t="s">
        <v>2107</v>
      </c>
      <c r="C554" s="65" t="s">
        <v>1339</v>
      </c>
      <c r="D554" t="s">
        <v>1817</v>
      </c>
      <c r="E554" s="64"/>
      <c r="F554" s="64"/>
      <c r="G554" s="64"/>
      <c r="H554" s="64">
        <v>0</v>
      </c>
      <c r="I554" s="64">
        <v>0</v>
      </c>
      <c r="J554" s="64">
        <v>0</v>
      </c>
      <c r="K554" s="64"/>
    </row>
    <row r="555" spans="1:11">
      <c r="A555" s="65" t="s">
        <v>2028</v>
      </c>
      <c r="B555" s="64" t="s">
        <v>2107</v>
      </c>
      <c r="C555" s="65" t="s">
        <v>1339</v>
      </c>
      <c r="D555" t="s">
        <v>1820</v>
      </c>
      <c r="E555" s="64"/>
      <c r="F555" s="64"/>
      <c r="G555" s="64"/>
      <c r="H555" s="64"/>
      <c r="I555" s="64"/>
      <c r="J555" s="64"/>
      <c r="K555" s="64"/>
    </row>
    <row r="556" spans="1:11">
      <c r="A556" s="65" t="s">
        <v>2028</v>
      </c>
      <c r="B556" s="64" t="s">
        <v>2107</v>
      </c>
      <c r="C556" s="65" t="s">
        <v>1339</v>
      </c>
      <c r="D556" t="s">
        <v>1821</v>
      </c>
      <c r="E556" s="64"/>
      <c r="F556" s="64"/>
      <c r="G556" s="64"/>
      <c r="H556" s="64">
        <v>0</v>
      </c>
      <c r="I556" s="64">
        <v>0</v>
      </c>
      <c r="J556" s="64">
        <v>1</v>
      </c>
      <c r="K556" s="64"/>
    </row>
    <row r="557" spans="1:11">
      <c r="A557" s="65" t="s">
        <v>2028</v>
      </c>
      <c r="B557" s="64" t="s">
        <v>2107</v>
      </c>
      <c r="C557" t="s">
        <v>1339</v>
      </c>
      <c r="D557" t="s">
        <v>2240</v>
      </c>
    </row>
    <row r="558" spans="1:11">
      <c r="A558" s="65" t="s">
        <v>2028</v>
      </c>
      <c r="B558" s="64" t="s">
        <v>2107</v>
      </c>
      <c r="C558" s="65" t="s">
        <v>1339</v>
      </c>
      <c r="D558" t="s">
        <v>592</v>
      </c>
      <c r="E558" s="64"/>
      <c r="F558" s="64"/>
      <c r="G558" s="64"/>
      <c r="H558" s="64">
        <v>0</v>
      </c>
      <c r="I558" s="64">
        <v>1</v>
      </c>
      <c r="J558" s="64">
        <v>1</v>
      </c>
      <c r="K558" s="64"/>
    </row>
    <row r="559" spans="1:11">
      <c r="A559" s="65" t="s">
        <v>2028</v>
      </c>
      <c r="B559" s="64" t="s">
        <v>2107</v>
      </c>
      <c r="C559" s="65" t="s">
        <v>1339</v>
      </c>
      <c r="D559" t="s">
        <v>1634</v>
      </c>
      <c r="E559" s="64"/>
      <c r="F559" s="64"/>
      <c r="G559" s="64"/>
      <c r="H559" s="64"/>
      <c r="I559" s="64"/>
      <c r="J559" s="64"/>
      <c r="K559" s="64"/>
    </row>
    <row r="560" spans="1:11">
      <c r="A560" s="65" t="s">
        <v>2028</v>
      </c>
      <c r="B560" s="64" t="s">
        <v>2107</v>
      </c>
      <c r="C560" s="65" t="s">
        <v>1339</v>
      </c>
      <c r="D560" t="s">
        <v>1831</v>
      </c>
      <c r="E560" s="64"/>
      <c r="F560" s="64"/>
      <c r="G560" s="64"/>
      <c r="H560" s="64"/>
      <c r="I560" s="64"/>
      <c r="J560" s="64"/>
      <c r="K560" s="64"/>
    </row>
    <row r="561" spans="1:11">
      <c r="A561" s="65" t="s">
        <v>2028</v>
      </c>
      <c r="B561" s="64" t="s">
        <v>2107</v>
      </c>
      <c r="C561" s="65" t="s">
        <v>1339</v>
      </c>
      <c r="D561" t="s">
        <v>1635</v>
      </c>
      <c r="E561" s="64"/>
      <c r="F561" s="64"/>
      <c r="G561" s="64"/>
      <c r="H561" s="64">
        <v>1</v>
      </c>
      <c r="I561" s="67">
        <v>1</v>
      </c>
      <c r="J561" s="64">
        <v>0</v>
      </c>
      <c r="K561" s="64"/>
    </row>
    <row r="562" spans="1:11">
      <c r="A562" s="65" t="s">
        <v>2028</v>
      </c>
      <c r="B562" s="64" t="s">
        <v>2107</v>
      </c>
      <c r="C562" s="65" t="s">
        <v>1339</v>
      </c>
      <c r="D562" t="s">
        <v>1656</v>
      </c>
      <c r="E562" s="64"/>
      <c r="F562" s="64"/>
      <c r="G562" s="64"/>
      <c r="H562" s="64">
        <v>1</v>
      </c>
      <c r="I562" s="64">
        <v>1</v>
      </c>
      <c r="J562" s="64">
        <v>0</v>
      </c>
      <c r="K562" s="64"/>
    </row>
    <row r="563" spans="1:11">
      <c r="A563" s="65" t="s">
        <v>2028</v>
      </c>
      <c r="B563" s="64" t="s">
        <v>2107</v>
      </c>
      <c r="C563" s="65" t="s">
        <v>1339</v>
      </c>
      <c r="D563" t="s">
        <v>1845</v>
      </c>
      <c r="E563" s="64"/>
      <c r="F563" s="64"/>
      <c r="G563" s="64"/>
      <c r="H563" s="64"/>
      <c r="I563" s="64"/>
      <c r="J563" s="64"/>
      <c r="K563" s="64"/>
    </row>
    <row r="564" spans="1:11">
      <c r="A564" s="65" t="s">
        <v>2028</v>
      </c>
      <c r="B564" s="64" t="s">
        <v>2107</v>
      </c>
      <c r="C564" s="70" t="s">
        <v>1339</v>
      </c>
      <c r="D564" t="s">
        <v>1846</v>
      </c>
      <c r="E564" s="64"/>
      <c r="F564" s="64"/>
      <c r="G564" s="64"/>
      <c r="H564" s="64"/>
      <c r="I564" s="64"/>
      <c r="J564" s="64"/>
      <c r="K564" s="64"/>
    </row>
    <row r="565" spans="1:11">
      <c r="A565" s="65" t="s">
        <v>2028</v>
      </c>
      <c r="B565" s="64" t="s">
        <v>2107</v>
      </c>
      <c r="C565" s="65" t="s">
        <v>1339</v>
      </c>
      <c r="D565" t="s">
        <v>1852</v>
      </c>
      <c r="E565" s="64"/>
      <c r="F565" s="64"/>
      <c r="G565" s="64"/>
      <c r="H565" s="64"/>
      <c r="I565" s="64"/>
      <c r="J565" s="64"/>
      <c r="K565" s="64"/>
    </row>
    <row r="566" spans="1:11">
      <c r="A566" s="65" t="s">
        <v>2028</v>
      </c>
      <c r="B566" s="64" t="s">
        <v>2107</v>
      </c>
      <c r="C566" s="65" t="s">
        <v>1339</v>
      </c>
      <c r="D566" t="s">
        <v>1854</v>
      </c>
      <c r="E566" s="64"/>
      <c r="F566" s="64"/>
      <c r="G566" s="64"/>
      <c r="H566" s="64"/>
      <c r="I566" s="64"/>
      <c r="J566" s="64"/>
      <c r="K566" s="64"/>
    </row>
    <row r="567" spans="1:11">
      <c r="A567" s="65" t="s">
        <v>2028</v>
      </c>
      <c r="B567" s="64" t="s">
        <v>2107</v>
      </c>
      <c r="C567" s="65" t="s">
        <v>1339</v>
      </c>
      <c r="D567" t="s">
        <v>1859</v>
      </c>
      <c r="E567" s="64"/>
      <c r="F567" s="64"/>
      <c r="G567" s="64"/>
      <c r="H567" s="64"/>
      <c r="I567" s="64"/>
      <c r="J567" s="64"/>
      <c r="K567" s="64"/>
    </row>
    <row r="568" spans="1:11">
      <c r="A568" s="65" t="s">
        <v>2028</v>
      </c>
      <c r="B568" s="64" t="s">
        <v>2107</v>
      </c>
      <c r="C568" t="s">
        <v>1339</v>
      </c>
      <c r="D568" t="s">
        <v>2241</v>
      </c>
    </row>
    <row r="569" spans="1:11">
      <c r="A569" s="65" t="s">
        <v>2028</v>
      </c>
      <c r="B569" s="64" t="s">
        <v>2107</v>
      </c>
      <c r="C569" t="s">
        <v>1339</v>
      </c>
      <c r="D569" t="s">
        <v>2242</v>
      </c>
    </row>
    <row r="570" spans="1:11">
      <c r="A570" s="65" t="s">
        <v>2028</v>
      </c>
      <c r="B570" s="64" t="s">
        <v>2107</v>
      </c>
      <c r="C570" s="65" t="s">
        <v>1339</v>
      </c>
      <c r="D570" t="s">
        <v>1717</v>
      </c>
      <c r="E570" s="64"/>
      <c r="F570" s="64"/>
      <c r="G570" s="64"/>
      <c r="H570" s="64"/>
      <c r="I570" s="64"/>
      <c r="J570" s="64"/>
      <c r="K570" s="64"/>
    </row>
    <row r="571" spans="1:11">
      <c r="A571" s="65" t="s">
        <v>2028</v>
      </c>
      <c r="B571" s="64" t="s">
        <v>2107</v>
      </c>
      <c r="C571" s="64" t="s">
        <v>1339</v>
      </c>
      <c r="D571" t="s">
        <v>587</v>
      </c>
      <c r="E571" s="64">
        <v>1</v>
      </c>
      <c r="F571" s="64">
        <v>1</v>
      </c>
      <c r="G571" s="64">
        <v>1</v>
      </c>
      <c r="H571" s="64">
        <v>0</v>
      </c>
      <c r="I571" s="64">
        <v>1</v>
      </c>
      <c r="J571" s="64">
        <v>0</v>
      </c>
      <c r="K571" s="64"/>
    </row>
    <row r="572" spans="1:11">
      <c r="A572" s="65" t="s">
        <v>2028</v>
      </c>
      <c r="B572" s="64" t="s">
        <v>2107</v>
      </c>
      <c r="C572" s="65" t="s">
        <v>1339</v>
      </c>
      <c r="D572" t="s">
        <v>1875</v>
      </c>
      <c r="E572" s="64"/>
      <c r="F572" s="64"/>
      <c r="G572" s="64"/>
      <c r="H572" s="64"/>
      <c r="I572" s="64"/>
      <c r="J572" s="64"/>
      <c r="K572" s="64"/>
    </row>
    <row r="573" spans="1:11">
      <c r="A573" s="65" t="s">
        <v>2028</v>
      </c>
      <c r="B573" s="64" t="s">
        <v>2107</v>
      </c>
      <c r="C573" s="65" t="s">
        <v>1339</v>
      </c>
      <c r="D573" t="s">
        <v>1882</v>
      </c>
      <c r="E573" s="64"/>
      <c r="F573" s="64"/>
      <c r="G573" s="64"/>
      <c r="H573" s="64"/>
      <c r="I573" s="64"/>
      <c r="J573" s="64"/>
      <c r="K573" s="64"/>
    </row>
    <row r="574" spans="1:11">
      <c r="A574" s="65" t="s">
        <v>2028</v>
      </c>
      <c r="B574" s="64" t="s">
        <v>2107</v>
      </c>
      <c r="C574" s="65" t="s">
        <v>1339</v>
      </c>
      <c r="D574" t="s">
        <v>1892</v>
      </c>
      <c r="E574" s="64"/>
      <c r="F574" s="64"/>
      <c r="G574" s="64"/>
      <c r="H574" s="64"/>
      <c r="I574" s="64"/>
      <c r="J574" s="64"/>
      <c r="K574" s="64"/>
    </row>
    <row r="575" spans="1:11">
      <c r="A575" s="65" t="s">
        <v>2028</v>
      </c>
      <c r="B575" s="64" t="s">
        <v>2107</v>
      </c>
      <c r="C575" s="65" t="s">
        <v>1339</v>
      </c>
      <c r="D575" t="s">
        <v>1906</v>
      </c>
      <c r="E575" s="64"/>
      <c r="F575" s="64"/>
      <c r="G575" s="64"/>
      <c r="H575" s="64"/>
      <c r="I575" s="64"/>
      <c r="J575" s="64"/>
      <c r="K575" s="64"/>
    </row>
    <row r="576" spans="1:11">
      <c r="A576" s="65" t="s">
        <v>2028</v>
      </c>
      <c r="B576" s="64" t="s">
        <v>2107</v>
      </c>
      <c r="C576" s="65" t="s">
        <v>1339</v>
      </c>
      <c r="D576" t="s">
        <v>1907</v>
      </c>
      <c r="E576" s="64"/>
      <c r="F576" s="64"/>
      <c r="G576" s="64"/>
      <c r="H576" s="64">
        <v>0</v>
      </c>
      <c r="I576" s="64">
        <v>1</v>
      </c>
      <c r="J576" s="64">
        <v>0</v>
      </c>
      <c r="K576" s="64"/>
    </row>
    <row r="577" spans="1:11">
      <c r="A577" s="65" t="s">
        <v>2028</v>
      </c>
      <c r="B577" s="64" t="s">
        <v>2107</v>
      </c>
      <c r="C577" s="65" t="s">
        <v>1339</v>
      </c>
      <c r="D577" t="s">
        <v>1908</v>
      </c>
      <c r="E577" s="64"/>
      <c r="F577" s="64"/>
      <c r="G577" s="64"/>
      <c r="H577" s="64"/>
      <c r="I577" s="64"/>
      <c r="J577" s="64"/>
      <c r="K577" s="64"/>
    </row>
    <row r="578" spans="1:11">
      <c r="A578" s="65" t="s">
        <v>2028</v>
      </c>
      <c r="B578" s="64" t="s">
        <v>2107</v>
      </c>
      <c r="C578" s="65" t="s">
        <v>1339</v>
      </c>
      <c r="D578" t="s">
        <v>589</v>
      </c>
      <c r="E578" s="64"/>
      <c r="F578" s="64"/>
      <c r="G578" s="64"/>
      <c r="H578" s="64">
        <v>0</v>
      </c>
      <c r="I578" s="64">
        <v>1</v>
      </c>
      <c r="J578" s="64">
        <v>0</v>
      </c>
      <c r="K578" s="64"/>
    </row>
    <row r="579" spans="1:11">
      <c r="A579" s="65" t="s">
        <v>2028</v>
      </c>
      <c r="B579" s="64" t="s">
        <v>2107</v>
      </c>
      <c r="C579" s="65" t="s">
        <v>1339</v>
      </c>
      <c r="D579" t="s">
        <v>588</v>
      </c>
      <c r="E579" s="64"/>
      <c r="F579" s="64"/>
      <c r="G579" s="64"/>
      <c r="H579" s="64">
        <v>0</v>
      </c>
      <c r="I579" s="64">
        <v>0</v>
      </c>
      <c r="J579" s="64">
        <v>0</v>
      </c>
      <c r="K579" s="64"/>
    </row>
    <row r="580" spans="1:11">
      <c r="A580" s="65" t="s">
        <v>2028</v>
      </c>
      <c r="B580" s="64" t="s">
        <v>2107</v>
      </c>
      <c r="C580" s="65" t="s">
        <v>1339</v>
      </c>
      <c r="D580" t="s">
        <v>1909</v>
      </c>
      <c r="E580" s="64"/>
      <c r="F580" s="64"/>
      <c r="G580" s="64"/>
      <c r="H580" s="64"/>
      <c r="I580" s="64"/>
      <c r="J580" s="64"/>
      <c r="K580" s="64"/>
    </row>
    <row r="581" spans="1:11">
      <c r="A581" s="65" t="s">
        <v>2028</v>
      </c>
      <c r="B581" s="64" t="s">
        <v>2107</v>
      </c>
      <c r="C581" s="65" t="s">
        <v>1339</v>
      </c>
      <c r="D581" t="s">
        <v>1910</v>
      </c>
      <c r="E581" s="64"/>
      <c r="F581" s="64"/>
      <c r="G581" s="64"/>
      <c r="H581" s="64"/>
      <c r="I581" s="64"/>
      <c r="J581" s="64"/>
      <c r="K581" s="64"/>
    </row>
    <row r="582" spans="1:11">
      <c r="A582" s="65" t="s">
        <v>2028</v>
      </c>
      <c r="B582" s="64" t="s">
        <v>2107</v>
      </c>
      <c r="C582" s="65" t="s">
        <v>1339</v>
      </c>
      <c r="D582" t="s">
        <v>1911</v>
      </c>
      <c r="E582" s="64"/>
      <c r="F582" s="64"/>
      <c r="G582" s="64"/>
      <c r="H582" s="64"/>
      <c r="I582" s="64"/>
      <c r="J582" s="64"/>
      <c r="K582" s="64"/>
    </row>
    <row r="583" spans="1:11">
      <c r="A583" s="65" t="s">
        <v>2028</v>
      </c>
      <c r="B583" s="64" t="s">
        <v>2107</v>
      </c>
      <c r="C583" s="65" t="s">
        <v>1339</v>
      </c>
      <c r="D583" t="s">
        <v>2063</v>
      </c>
      <c r="E583" s="64"/>
      <c r="F583" s="64"/>
      <c r="G583" s="64"/>
      <c r="H583" s="64">
        <v>1</v>
      </c>
      <c r="I583" s="64">
        <v>1</v>
      </c>
      <c r="J583" s="64">
        <v>0</v>
      </c>
      <c r="K583" s="64"/>
    </row>
    <row r="584" spans="1:11">
      <c r="A584" s="65" t="s">
        <v>2028</v>
      </c>
      <c r="B584" s="64" t="s">
        <v>2107</v>
      </c>
      <c r="C584" s="65" t="s">
        <v>1339</v>
      </c>
      <c r="D584" t="s">
        <v>1641</v>
      </c>
      <c r="E584" s="64"/>
      <c r="F584" s="64"/>
      <c r="G584" s="64"/>
      <c r="H584" s="64"/>
      <c r="I584" s="64"/>
      <c r="J584" s="64"/>
      <c r="K584" s="64"/>
    </row>
    <row r="585" spans="1:11">
      <c r="A585" s="65" t="s">
        <v>2028</v>
      </c>
      <c r="B585" s="64" t="s">
        <v>2107</v>
      </c>
      <c r="C585" s="64" t="s">
        <v>1339</v>
      </c>
      <c r="D585" t="s">
        <v>596</v>
      </c>
      <c r="E585" s="64">
        <v>0</v>
      </c>
      <c r="F585" s="64">
        <v>0</v>
      </c>
      <c r="G585" s="64">
        <v>0</v>
      </c>
      <c r="H585" s="64">
        <v>0</v>
      </c>
      <c r="I585" s="64">
        <v>0</v>
      </c>
      <c r="J585" s="64">
        <v>1</v>
      </c>
      <c r="K585" s="64"/>
    </row>
    <row r="586" spans="1:11">
      <c r="A586" s="65" t="s">
        <v>2028</v>
      </c>
      <c r="B586" s="64" t="s">
        <v>2107</v>
      </c>
      <c r="C586" s="65" t="s">
        <v>1339</v>
      </c>
      <c r="D586" t="s">
        <v>1793</v>
      </c>
      <c r="E586" s="64"/>
      <c r="F586" s="64"/>
      <c r="G586" s="64"/>
      <c r="H586" s="64"/>
      <c r="I586" s="64"/>
      <c r="J586" s="64"/>
      <c r="K586" s="64"/>
    </row>
    <row r="587" spans="1:11">
      <c r="A587" s="65" t="s">
        <v>2028</v>
      </c>
      <c r="B587" s="64" t="s">
        <v>2107</v>
      </c>
      <c r="C587" s="65" t="s">
        <v>1339</v>
      </c>
      <c r="D587" t="s">
        <v>1922</v>
      </c>
      <c r="E587" s="64"/>
      <c r="F587" s="64"/>
      <c r="G587" s="64"/>
      <c r="H587" s="64">
        <v>0</v>
      </c>
      <c r="I587" s="64">
        <v>0</v>
      </c>
      <c r="J587" s="64">
        <v>1</v>
      </c>
      <c r="K587" s="64"/>
    </row>
    <row r="588" spans="1:11">
      <c r="A588" s="65" t="s">
        <v>2028</v>
      </c>
      <c r="B588" s="64" t="s">
        <v>2107</v>
      </c>
      <c r="C588" s="65" t="s">
        <v>1339</v>
      </c>
      <c r="D588" t="s">
        <v>2067</v>
      </c>
      <c r="E588" s="64"/>
      <c r="F588" s="64"/>
      <c r="G588" s="64"/>
      <c r="H588" s="64">
        <v>1</v>
      </c>
      <c r="I588" s="64">
        <v>0</v>
      </c>
      <c r="J588" s="64">
        <v>0</v>
      </c>
      <c r="K588" s="64" t="s">
        <v>1794</v>
      </c>
    </row>
    <row r="589" spans="1:11">
      <c r="A589" s="65" t="s">
        <v>2028</v>
      </c>
      <c r="B589" s="64" t="s">
        <v>2107</v>
      </c>
      <c r="C589" s="65" t="s">
        <v>1339</v>
      </c>
      <c r="D589" t="s">
        <v>571</v>
      </c>
      <c r="E589" s="64"/>
      <c r="F589" s="64"/>
      <c r="G589" s="64"/>
      <c r="H589" s="64">
        <v>0</v>
      </c>
      <c r="I589" s="64">
        <v>1</v>
      </c>
      <c r="J589" s="64">
        <v>0</v>
      </c>
      <c r="K589" s="64"/>
    </row>
    <row r="590" spans="1:11">
      <c r="A590" s="65" t="s">
        <v>2028</v>
      </c>
      <c r="B590" s="64" t="s">
        <v>2107</v>
      </c>
      <c r="C590" s="65" t="s">
        <v>1339</v>
      </c>
      <c r="D590" t="s">
        <v>576</v>
      </c>
      <c r="E590" s="64">
        <v>0</v>
      </c>
      <c r="F590" s="64">
        <v>0</v>
      </c>
      <c r="G590" s="64">
        <v>1</v>
      </c>
      <c r="H590" s="64">
        <v>0</v>
      </c>
      <c r="I590" s="64">
        <v>1</v>
      </c>
      <c r="J590" s="64">
        <v>1</v>
      </c>
      <c r="K590" s="64"/>
    </row>
    <row r="591" spans="1:11">
      <c r="A591" s="65" t="s">
        <v>2028</v>
      </c>
      <c r="B591" s="64" t="s">
        <v>2107</v>
      </c>
      <c r="C591" s="65" t="s">
        <v>1339</v>
      </c>
      <c r="D591" t="s">
        <v>595</v>
      </c>
      <c r="E591" s="64"/>
      <c r="F591" s="64"/>
      <c r="G591" s="64"/>
      <c r="H591" s="64"/>
      <c r="I591" s="64"/>
      <c r="J591" s="64"/>
      <c r="K591" s="64"/>
    </row>
    <row r="592" spans="1:11">
      <c r="A592" s="65" t="s">
        <v>2028</v>
      </c>
      <c r="B592" s="64" t="s">
        <v>2107</v>
      </c>
      <c r="C592" s="65" t="s">
        <v>1339</v>
      </c>
      <c r="D592" t="s">
        <v>598</v>
      </c>
      <c r="E592" s="64">
        <v>1</v>
      </c>
      <c r="F592" s="64">
        <v>1</v>
      </c>
      <c r="G592" s="64">
        <v>0</v>
      </c>
      <c r="H592" s="64"/>
      <c r="I592" s="64"/>
      <c r="J592" s="64"/>
      <c r="K592" s="64"/>
    </row>
    <row r="593" spans="1:11">
      <c r="A593" s="65" t="s">
        <v>2028</v>
      </c>
      <c r="B593" s="64" t="s">
        <v>2107</v>
      </c>
      <c r="C593" s="65" t="s">
        <v>1339</v>
      </c>
      <c r="D593" t="s">
        <v>1931</v>
      </c>
      <c r="E593" s="64"/>
      <c r="F593" s="64"/>
      <c r="G593" s="64"/>
      <c r="H593" s="64"/>
      <c r="I593" s="64"/>
      <c r="J593" s="64"/>
      <c r="K593" s="64"/>
    </row>
    <row r="594" spans="1:11">
      <c r="A594" s="65" t="s">
        <v>2028</v>
      </c>
      <c r="B594" s="64" t="s">
        <v>2107</v>
      </c>
      <c r="C594" s="65" t="s">
        <v>1339</v>
      </c>
      <c r="D594" t="s">
        <v>1939</v>
      </c>
      <c r="E594" s="64"/>
      <c r="F594" s="64"/>
      <c r="G594" s="64"/>
      <c r="H594" s="64">
        <v>1</v>
      </c>
      <c r="I594" s="64">
        <v>0</v>
      </c>
      <c r="J594" s="64">
        <v>0</v>
      </c>
      <c r="K594" s="64"/>
    </row>
    <row r="595" spans="1:11">
      <c r="A595" s="65" t="s">
        <v>2028</v>
      </c>
      <c r="B595" s="64" t="s">
        <v>2107</v>
      </c>
      <c r="C595" s="65" t="s">
        <v>1339</v>
      </c>
      <c r="D595" t="s">
        <v>1944</v>
      </c>
      <c r="E595" s="64"/>
      <c r="F595" s="64"/>
      <c r="G595" s="64"/>
      <c r="H595" s="64"/>
      <c r="I595" s="64"/>
      <c r="J595" s="64"/>
      <c r="K595" s="64"/>
    </row>
    <row r="596" spans="1:11">
      <c r="A596" s="65" t="s">
        <v>2028</v>
      </c>
      <c r="B596" s="64" t="s">
        <v>2107</v>
      </c>
      <c r="C596" s="65" t="s">
        <v>1339</v>
      </c>
      <c r="D596" t="s">
        <v>593</v>
      </c>
      <c r="E596" s="64"/>
      <c r="F596" s="64"/>
      <c r="G596" s="64"/>
      <c r="H596" s="64"/>
      <c r="I596" s="64"/>
      <c r="J596" s="64"/>
      <c r="K596" s="64"/>
    </row>
    <row r="597" spans="1:11">
      <c r="A597" s="65" t="s">
        <v>2028</v>
      </c>
      <c r="B597" s="64" t="s">
        <v>2107</v>
      </c>
      <c r="C597" s="65" t="s">
        <v>1339</v>
      </c>
      <c r="D597" t="s">
        <v>594</v>
      </c>
      <c r="E597" s="64"/>
      <c r="F597" s="64"/>
      <c r="G597" s="64"/>
      <c r="H597" s="64"/>
      <c r="I597" s="64"/>
      <c r="J597" s="64"/>
      <c r="K597" s="64"/>
    </row>
    <row r="598" spans="1:11">
      <c r="A598" s="65" t="s">
        <v>2028</v>
      </c>
      <c r="B598" s="64" t="s">
        <v>2107</v>
      </c>
      <c r="C598" s="65" t="s">
        <v>1339</v>
      </c>
      <c r="D598" t="s">
        <v>1947</v>
      </c>
      <c r="E598" s="64"/>
      <c r="F598" s="64"/>
      <c r="G598" s="64"/>
      <c r="H598" s="64"/>
      <c r="I598" s="64"/>
      <c r="J598" s="64"/>
      <c r="K598" s="64"/>
    </row>
    <row r="599" spans="1:11">
      <c r="A599" s="65" t="s">
        <v>2028</v>
      </c>
      <c r="B599" s="64" t="s">
        <v>2107</v>
      </c>
      <c r="C599" s="65" t="s">
        <v>1339</v>
      </c>
      <c r="D599" t="s">
        <v>1952</v>
      </c>
      <c r="E599" s="64"/>
      <c r="F599" s="64"/>
      <c r="G599" s="64"/>
      <c r="H599" s="64"/>
      <c r="I599" s="64"/>
      <c r="J599" s="64"/>
      <c r="K599" s="64"/>
    </row>
    <row r="600" spans="1:11">
      <c r="A600" s="65" t="s">
        <v>2028</v>
      </c>
      <c r="B600" s="64" t="s">
        <v>2107</v>
      </c>
      <c r="C600" s="65" t="s">
        <v>1339</v>
      </c>
      <c r="D600" t="s">
        <v>1953</v>
      </c>
      <c r="E600" s="64"/>
      <c r="F600" s="64"/>
      <c r="G600" s="64"/>
      <c r="H600" s="64"/>
      <c r="I600" s="64"/>
      <c r="J600" s="64"/>
      <c r="K600" s="64"/>
    </row>
    <row r="601" spans="1:11">
      <c r="A601" s="65" t="s">
        <v>2028</v>
      </c>
      <c r="B601" s="64" t="s">
        <v>2107</v>
      </c>
      <c r="C601" s="65" t="s">
        <v>1339</v>
      </c>
      <c r="D601" t="s">
        <v>1960</v>
      </c>
      <c r="E601" s="64"/>
      <c r="F601" s="64"/>
      <c r="G601" s="64"/>
      <c r="H601" s="64"/>
      <c r="I601" s="64"/>
      <c r="J601" s="64"/>
      <c r="K601" s="64"/>
    </row>
    <row r="602" spans="1:11">
      <c r="A602" s="65" t="s">
        <v>2028</v>
      </c>
      <c r="B602" s="64" t="s">
        <v>2107</v>
      </c>
      <c r="C602" s="65" t="s">
        <v>1339</v>
      </c>
      <c r="D602" t="s">
        <v>1967</v>
      </c>
      <c r="E602" s="64"/>
      <c r="F602" s="64"/>
      <c r="G602" s="64"/>
      <c r="H602" s="64"/>
      <c r="I602" s="64"/>
      <c r="J602" s="64"/>
      <c r="K602" s="64"/>
    </row>
    <row r="603" spans="1:11">
      <c r="A603" s="65" t="s">
        <v>2028</v>
      </c>
      <c r="B603" s="64" t="s">
        <v>2107</v>
      </c>
      <c r="C603" s="64" t="s">
        <v>1339</v>
      </c>
      <c r="D603" t="s">
        <v>2232</v>
      </c>
    </row>
    <row r="604" spans="1:11">
      <c r="A604" s="65" t="s">
        <v>2028</v>
      </c>
      <c r="B604" s="64" t="s">
        <v>2107</v>
      </c>
      <c r="C604" s="65" t="s">
        <v>1339</v>
      </c>
      <c r="D604" t="s">
        <v>1718</v>
      </c>
      <c r="E604" s="64"/>
      <c r="F604" s="64"/>
      <c r="G604" s="64"/>
      <c r="H604" s="64"/>
      <c r="I604" s="64"/>
      <c r="J604" s="64"/>
      <c r="K604" s="64"/>
    </row>
    <row r="605" spans="1:11">
      <c r="A605" s="65" t="s">
        <v>2028</v>
      </c>
      <c r="B605" s="64" t="s">
        <v>2107</v>
      </c>
      <c r="C605" s="65" t="s">
        <v>1339</v>
      </c>
      <c r="D605" t="s">
        <v>1970</v>
      </c>
      <c r="E605" s="64"/>
      <c r="F605" s="64"/>
      <c r="G605" s="64"/>
      <c r="H605" s="64">
        <v>1</v>
      </c>
      <c r="I605" s="64">
        <v>0</v>
      </c>
      <c r="J605" s="64">
        <v>0</v>
      </c>
      <c r="K605" s="64"/>
    </row>
    <row r="606" spans="1:11">
      <c r="A606" s="65" t="s">
        <v>2028</v>
      </c>
      <c r="B606" s="64" t="s">
        <v>2107</v>
      </c>
      <c r="C606" s="65" t="s">
        <v>1339</v>
      </c>
      <c r="D606" t="s">
        <v>610</v>
      </c>
      <c r="E606" s="64"/>
      <c r="F606" s="64"/>
      <c r="G606" s="64"/>
      <c r="H606" s="64"/>
      <c r="I606" s="64"/>
      <c r="J606" s="64"/>
      <c r="K606" s="64"/>
    </row>
    <row r="607" spans="1:11">
      <c r="A607" s="65" t="s">
        <v>2028</v>
      </c>
      <c r="B607" s="64" t="s">
        <v>2107</v>
      </c>
      <c r="C607" s="65" t="s">
        <v>1339</v>
      </c>
      <c r="D607" t="s">
        <v>1974</v>
      </c>
      <c r="E607" s="64"/>
      <c r="F607" s="64"/>
      <c r="G607" s="64"/>
      <c r="H607" s="64"/>
      <c r="I607" s="64"/>
      <c r="J607" s="64"/>
      <c r="K607" s="64"/>
    </row>
    <row r="608" spans="1:11">
      <c r="A608" s="65" t="s">
        <v>2028</v>
      </c>
      <c r="B608" s="64" t="s">
        <v>2107</v>
      </c>
      <c r="C608" s="65" t="s">
        <v>1339</v>
      </c>
      <c r="D608" t="s">
        <v>1975</v>
      </c>
      <c r="E608" s="64"/>
      <c r="F608" s="64"/>
      <c r="G608" s="64"/>
      <c r="H608" s="64"/>
      <c r="I608" s="64"/>
      <c r="J608" s="64"/>
      <c r="K608" s="64"/>
    </row>
    <row r="609" spans="1:11">
      <c r="A609" s="65" t="s">
        <v>2028</v>
      </c>
      <c r="B609" s="64" t="s">
        <v>2107</v>
      </c>
      <c r="C609" s="65" t="s">
        <v>1339</v>
      </c>
      <c r="D609" t="s">
        <v>1997</v>
      </c>
      <c r="E609" s="64"/>
      <c r="F609" s="64"/>
      <c r="G609" s="64"/>
      <c r="H609" s="64"/>
      <c r="I609" s="64"/>
      <c r="J609" s="64"/>
      <c r="K609" s="64"/>
    </row>
    <row r="610" spans="1:11">
      <c r="A610" s="65" t="s">
        <v>2028</v>
      </c>
      <c r="B610" s="64" t="s">
        <v>2107</v>
      </c>
      <c r="C610" s="64" t="s">
        <v>1339</v>
      </c>
      <c r="D610" t="s">
        <v>658</v>
      </c>
      <c r="E610" s="64">
        <v>1</v>
      </c>
      <c r="F610" s="64">
        <v>1</v>
      </c>
      <c r="G610" s="64">
        <v>1</v>
      </c>
      <c r="H610" s="64"/>
      <c r="I610" s="64"/>
      <c r="J610" s="64"/>
      <c r="K610" s="64"/>
    </row>
    <row r="611" spans="1:11">
      <c r="A611" s="65" t="s">
        <v>2028</v>
      </c>
      <c r="B611" s="64" t="s">
        <v>2107</v>
      </c>
      <c r="C611" s="64" t="s">
        <v>1339</v>
      </c>
      <c r="D611" t="s">
        <v>599</v>
      </c>
      <c r="E611" s="64">
        <v>0</v>
      </c>
      <c r="F611" s="64">
        <v>0</v>
      </c>
      <c r="G611" s="64">
        <v>0</v>
      </c>
      <c r="H611" s="64"/>
      <c r="I611" s="64"/>
      <c r="J611" s="64"/>
      <c r="K611" s="64"/>
    </row>
    <row r="612" spans="1:11">
      <c r="A612" s="65" t="s">
        <v>2028</v>
      </c>
      <c r="B612" s="64" t="s">
        <v>2107</v>
      </c>
      <c r="C612" s="65" t="s">
        <v>1339</v>
      </c>
      <c r="D612" t="s">
        <v>597</v>
      </c>
      <c r="E612" s="64">
        <v>1</v>
      </c>
      <c r="F612" s="64">
        <v>1</v>
      </c>
      <c r="G612" s="64">
        <v>0</v>
      </c>
      <c r="H612" s="64"/>
      <c r="I612" s="64"/>
      <c r="J612" s="64"/>
      <c r="K612" s="64"/>
    </row>
    <row r="613" spans="1:11">
      <c r="A613" s="65" t="s">
        <v>2028</v>
      </c>
      <c r="B613" s="64" t="s">
        <v>2107</v>
      </c>
      <c r="C613" s="65" t="s">
        <v>1339</v>
      </c>
      <c r="D613" t="s">
        <v>1998</v>
      </c>
      <c r="E613" s="64"/>
      <c r="F613" s="64"/>
      <c r="G613" s="64"/>
      <c r="H613" s="64"/>
      <c r="I613" s="64"/>
      <c r="J613" s="64"/>
      <c r="K613" s="64"/>
    </row>
    <row r="614" spans="1:11">
      <c r="A614" s="65" t="s">
        <v>2028</v>
      </c>
      <c r="B614" s="64" t="s">
        <v>2107</v>
      </c>
      <c r="C614" s="65" t="s">
        <v>1339</v>
      </c>
      <c r="D614" t="s">
        <v>1715</v>
      </c>
      <c r="E614" s="64"/>
      <c r="F614" s="64"/>
      <c r="G614" s="64"/>
      <c r="H614" s="64"/>
      <c r="I614" s="64"/>
      <c r="J614" s="64"/>
      <c r="K614" s="64"/>
    </row>
    <row r="615" spans="1:11">
      <c r="A615" s="65" t="s">
        <v>2028</v>
      </c>
      <c r="B615" s="64" t="s">
        <v>2107</v>
      </c>
      <c r="C615" s="65" t="s">
        <v>1339</v>
      </c>
      <c r="D615" t="s">
        <v>1999</v>
      </c>
      <c r="E615" s="64"/>
      <c r="F615" s="64"/>
      <c r="G615" s="64"/>
      <c r="H615" s="64">
        <v>1</v>
      </c>
      <c r="I615" s="64">
        <v>1</v>
      </c>
      <c r="J615" s="64">
        <v>1</v>
      </c>
      <c r="K615" s="64"/>
    </row>
    <row r="616" spans="1:11">
      <c r="A616" s="65" t="s">
        <v>2028</v>
      </c>
      <c r="B616" s="64" t="s">
        <v>2107</v>
      </c>
      <c r="C616" s="65" t="s">
        <v>1339</v>
      </c>
      <c r="D616" t="s">
        <v>2000</v>
      </c>
      <c r="E616" s="64"/>
      <c r="F616" s="64"/>
      <c r="G616" s="64"/>
      <c r="H616" s="64"/>
      <c r="I616" s="64"/>
      <c r="J616" s="64"/>
      <c r="K616" s="64"/>
    </row>
    <row r="617" spans="1:11">
      <c r="A617" s="65" t="s">
        <v>2028</v>
      </c>
      <c r="B617" s="64" t="s">
        <v>2107</v>
      </c>
      <c r="C617" s="65" t="s">
        <v>1339</v>
      </c>
      <c r="D617" t="s">
        <v>2001</v>
      </c>
      <c r="E617" s="64"/>
      <c r="F617" s="64"/>
      <c r="G617" s="64"/>
      <c r="H617" s="64"/>
      <c r="I617" s="64"/>
      <c r="J617" s="64"/>
      <c r="K617" s="64"/>
    </row>
    <row r="618" spans="1:11">
      <c r="A618" s="65" t="s">
        <v>2028</v>
      </c>
      <c r="B618" s="64" t="s">
        <v>2107</v>
      </c>
      <c r="C618" s="65" t="s">
        <v>1339</v>
      </c>
      <c r="D618" t="s">
        <v>2095</v>
      </c>
      <c r="E618" s="64"/>
      <c r="F618" s="64"/>
      <c r="G618" s="64"/>
      <c r="H618" s="64">
        <v>1</v>
      </c>
      <c r="I618" s="64">
        <v>1</v>
      </c>
      <c r="J618" s="64">
        <v>0</v>
      </c>
      <c r="K618" s="64"/>
    </row>
    <row r="619" spans="1:11">
      <c r="A619" s="65" t="s">
        <v>2028</v>
      </c>
      <c r="B619" s="64" t="s">
        <v>2107</v>
      </c>
      <c r="C619" s="65" t="s">
        <v>1339</v>
      </c>
      <c r="D619" t="s">
        <v>2003</v>
      </c>
      <c r="E619" s="64"/>
      <c r="F619" s="64"/>
      <c r="G619" s="64"/>
      <c r="H619" s="64"/>
      <c r="I619" s="64"/>
      <c r="J619" s="64"/>
      <c r="K619" s="64"/>
    </row>
    <row r="620" spans="1:11">
      <c r="A620" s="65" t="s">
        <v>2028</v>
      </c>
      <c r="B620" s="64" t="s">
        <v>2107</v>
      </c>
      <c r="C620" s="65" t="s">
        <v>1339</v>
      </c>
      <c r="D620" t="s">
        <v>2004</v>
      </c>
      <c r="E620" s="64"/>
      <c r="F620" s="64"/>
      <c r="G620" s="64"/>
      <c r="H620" s="64"/>
      <c r="I620" s="64"/>
      <c r="J620" s="64"/>
      <c r="K620" s="64"/>
    </row>
    <row r="621" spans="1:11">
      <c r="A621" s="65" t="s">
        <v>2028</v>
      </c>
      <c r="B621" s="64" t="s">
        <v>2107</v>
      </c>
      <c r="C621" s="65" t="s">
        <v>1339</v>
      </c>
      <c r="D621" t="s">
        <v>1720</v>
      </c>
      <c r="E621" s="64"/>
      <c r="F621" s="64"/>
      <c r="G621" s="64"/>
      <c r="H621" s="64"/>
      <c r="I621" s="64"/>
      <c r="J621" s="64"/>
      <c r="K621" s="64"/>
    </row>
    <row r="622" spans="1:11">
      <c r="A622" s="65" t="s">
        <v>2028</v>
      </c>
      <c r="B622" s="64" t="s">
        <v>2107</v>
      </c>
      <c r="C622" s="65" t="s">
        <v>1339</v>
      </c>
      <c r="D622" t="s">
        <v>2010</v>
      </c>
      <c r="E622" s="64"/>
      <c r="F622" s="64"/>
      <c r="G622" s="64"/>
      <c r="H622" s="64"/>
      <c r="I622" s="64"/>
      <c r="J622" s="64"/>
      <c r="K622" s="64"/>
    </row>
    <row r="623" spans="1:11">
      <c r="A623" s="65" t="s">
        <v>2028</v>
      </c>
      <c r="B623" s="64" t="s">
        <v>2107</v>
      </c>
      <c r="C623" s="65" t="s">
        <v>1339</v>
      </c>
      <c r="D623" t="s">
        <v>1636</v>
      </c>
      <c r="E623" s="64"/>
      <c r="F623" s="64"/>
      <c r="G623" s="64"/>
      <c r="H623" s="64"/>
      <c r="I623" s="64"/>
      <c r="J623" s="64"/>
      <c r="K623" s="64"/>
    </row>
    <row r="624" spans="1:11">
      <c r="A624" s="65" t="s">
        <v>2028</v>
      </c>
      <c r="B624" s="64" t="s">
        <v>2107</v>
      </c>
      <c r="C624" s="65" t="s">
        <v>1339</v>
      </c>
      <c r="D624" t="s">
        <v>2014</v>
      </c>
      <c r="E624" s="64"/>
      <c r="F624" s="64"/>
      <c r="G624" s="64"/>
      <c r="H624" s="64"/>
      <c r="I624" s="64"/>
      <c r="J624" s="64"/>
      <c r="K624" s="64"/>
    </row>
    <row r="625" spans="1:11">
      <c r="A625" s="65" t="s">
        <v>2028</v>
      </c>
      <c r="B625" s="64" t="s">
        <v>2107</v>
      </c>
      <c r="C625" s="65" t="s">
        <v>1339</v>
      </c>
      <c r="D625" t="s">
        <v>2015</v>
      </c>
      <c r="E625" s="64"/>
      <c r="F625" s="64"/>
      <c r="G625" s="64"/>
      <c r="H625" s="64">
        <v>1</v>
      </c>
      <c r="I625" s="64">
        <v>0</v>
      </c>
      <c r="J625" s="64">
        <v>0</v>
      </c>
      <c r="K625" s="64"/>
    </row>
    <row r="626" spans="1:11">
      <c r="A626" s="65" t="s">
        <v>2028</v>
      </c>
      <c r="B626" s="64" t="s">
        <v>2107</v>
      </c>
      <c r="C626" s="65" t="s">
        <v>1339</v>
      </c>
      <c r="D626" t="s">
        <v>590</v>
      </c>
      <c r="E626" s="64"/>
      <c r="F626" s="64"/>
      <c r="G626" s="64"/>
      <c r="H626" s="64">
        <v>1</v>
      </c>
      <c r="I626" s="64">
        <v>0</v>
      </c>
      <c r="J626" s="64">
        <v>1</v>
      </c>
      <c r="K626" s="64"/>
    </row>
    <row r="627" spans="1:11">
      <c r="A627" s="65" t="s">
        <v>2028</v>
      </c>
      <c r="B627" s="64" t="s">
        <v>2107</v>
      </c>
      <c r="C627" s="65" t="s">
        <v>1339</v>
      </c>
      <c r="D627" t="s">
        <v>2019</v>
      </c>
      <c r="E627" s="64"/>
      <c r="F627" s="64"/>
      <c r="G627" s="64"/>
      <c r="H627" s="64">
        <v>1</v>
      </c>
      <c r="I627" s="64">
        <v>0</v>
      </c>
      <c r="J627" s="64">
        <v>1</v>
      </c>
      <c r="K627" s="64"/>
    </row>
    <row r="628" spans="1:11">
      <c r="A628" s="65" t="s">
        <v>2028</v>
      </c>
      <c r="B628" s="64" t="s">
        <v>2107</v>
      </c>
      <c r="C628" s="65" t="s">
        <v>1339</v>
      </c>
      <c r="D628" t="s">
        <v>2020</v>
      </c>
      <c r="E628" s="64"/>
      <c r="F628" s="64"/>
      <c r="G628" s="64"/>
      <c r="H628" s="64">
        <v>0</v>
      </c>
      <c r="I628" s="64">
        <v>1</v>
      </c>
      <c r="J628" s="64">
        <v>0</v>
      </c>
      <c r="K628" s="64"/>
    </row>
    <row r="629" spans="1:11">
      <c r="A629" s="65" t="s">
        <v>2028</v>
      </c>
      <c r="B629" s="64" t="s">
        <v>2107</v>
      </c>
      <c r="C629" s="65" t="s">
        <v>1339</v>
      </c>
      <c r="D629" t="s">
        <v>2023</v>
      </c>
      <c r="E629" s="64"/>
      <c r="F629" s="64"/>
      <c r="G629" s="64"/>
      <c r="H629" s="64"/>
      <c r="I629" s="64"/>
      <c r="J629" s="64"/>
      <c r="K629" s="64"/>
    </row>
    <row r="630" spans="1:11">
      <c r="A630" s="65" t="s">
        <v>2028</v>
      </c>
      <c r="B630" s="64" t="s">
        <v>2107</v>
      </c>
      <c r="C630" s="65" t="s">
        <v>1339</v>
      </c>
      <c r="D630" t="s">
        <v>591</v>
      </c>
      <c r="E630" s="64"/>
      <c r="F630" s="64"/>
      <c r="G630" s="64"/>
      <c r="H630" s="64"/>
      <c r="I630" s="64"/>
      <c r="J630" s="64"/>
      <c r="K630" s="64"/>
    </row>
    <row r="631" spans="1:11">
      <c r="A631" s="65" t="s">
        <v>2028</v>
      </c>
      <c r="B631" s="64" t="s">
        <v>2107</v>
      </c>
      <c r="C631" s="65" t="s">
        <v>1339</v>
      </c>
      <c r="D631" t="s">
        <v>2026</v>
      </c>
      <c r="E631" s="64"/>
      <c r="F631" s="64"/>
      <c r="G631" s="64"/>
      <c r="H631" s="64"/>
      <c r="I631" s="64"/>
      <c r="J631" s="64"/>
      <c r="K631" s="64"/>
    </row>
    <row r="632" spans="1:11">
      <c r="A632" s="65" t="s">
        <v>2028</v>
      </c>
      <c r="B632" s="64" t="s">
        <v>2107</v>
      </c>
      <c r="C632" s="64" t="s">
        <v>1364</v>
      </c>
      <c r="D632" t="s">
        <v>2191</v>
      </c>
    </row>
    <row r="633" spans="1:11">
      <c r="A633" s="65" t="s">
        <v>2028</v>
      </c>
      <c r="B633" s="64" t="s">
        <v>2107</v>
      </c>
      <c r="C633" s="64" t="s">
        <v>1364</v>
      </c>
      <c r="D633" t="s">
        <v>613</v>
      </c>
      <c r="E633" s="64">
        <v>1</v>
      </c>
      <c r="F633" s="64">
        <v>1</v>
      </c>
      <c r="G633" s="64">
        <v>1</v>
      </c>
      <c r="H633" s="64">
        <v>1</v>
      </c>
      <c r="I633" s="64">
        <v>0</v>
      </c>
      <c r="J633" s="64">
        <v>0</v>
      </c>
      <c r="K633" s="64"/>
    </row>
    <row r="634" spans="1:11">
      <c r="A634" s="65" t="s">
        <v>2028</v>
      </c>
      <c r="B634" s="64" t="s">
        <v>2107</v>
      </c>
      <c r="C634" s="64" t="s">
        <v>1364</v>
      </c>
      <c r="D634" t="s">
        <v>614</v>
      </c>
      <c r="E634" s="64">
        <v>1</v>
      </c>
      <c r="F634" s="64">
        <v>1</v>
      </c>
      <c r="G634" s="64">
        <v>1</v>
      </c>
      <c r="H634" s="64">
        <v>1</v>
      </c>
      <c r="I634" s="64">
        <v>0</v>
      </c>
      <c r="J634" s="64">
        <v>0</v>
      </c>
      <c r="K634" s="64"/>
    </row>
    <row r="635" spans="1:11">
      <c r="A635" s="65" t="s">
        <v>2028</v>
      </c>
      <c r="B635" s="64" t="s">
        <v>2107</v>
      </c>
      <c r="C635" s="64" t="s">
        <v>1364</v>
      </c>
      <c r="D635" t="s">
        <v>1803</v>
      </c>
      <c r="E635" s="64">
        <v>1</v>
      </c>
      <c r="F635" s="64">
        <v>1</v>
      </c>
      <c r="G635" s="64">
        <v>1</v>
      </c>
      <c r="H635" s="64">
        <v>1</v>
      </c>
      <c r="I635" s="64">
        <v>0</v>
      </c>
      <c r="J635" s="64">
        <v>0</v>
      </c>
      <c r="K635" s="64"/>
    </row>
    <row r="636" spans="1:11">
      <c r="A636" s="65" t="s">
        <v>2028</v>
      </c>
      <c r="B636" s="64" t="s">
        <v>2107</v>
      </c>
      <c r="C636" s="64" t="s">
        <v>1364</v>
      </c>
      <c r="D636" t="s">
        <v>2105</v>
      </c>
      <c r="E636" s="64">
        <v>1</v>
      </c>
      <c r="F636" s="64">
        <v>0</v>
      </c>
      <c r="G636" s="64">
        <v>0</v>
      </c>
      <c r="H636" s="64">
        <v>0</v>
      </c>
      <c r="I636" s="64">
        <v>1</v>
      </c>
      <c r="J636" s="64">
        <v>0</v>
      </c>
      <c r="K636" s="64"/>
    </row>
    <row r="637" spans="1:11">
      <c r="A637" s="65" t="s">
        <v>2028</v>
      </c>
      <c r="B637" s="64" t="s">
        <v>2107</v>
      </c>
      <c r="C637" s="64" t="s">
        <v>1364</v>
      </c>
      <c r="D637" t="s">
        <v>618</v>
      </c>
      <c r="E637" s="64"/>
      <c r="F637" s="64"/>
      <c r="G637" s="64"/>
      <c r="H637" s="64"/>
      <c r="I637" s="64"/>
      <c r="J637" s="64"/>
      <c r="K637" s="64"/>
    </row>
    <row r="638" spans="1:11">
      <c r="A638" s="65" t="s">
        <v>2028</v>
      </c>
      <c r="B638" s="64" t="s">
        <v>2107</v>
      </c>
      <c r="C638" s="64" t="s">
        <v>1364</v>
      </c>
      <c r="D638" t="s">
        <v>1809</v>
      </c>
      <c r="E638" s="64">
        <v>1</v>
      </c>
      <c r="F638" s="64">
        <v>1</v>
      </c>
      <c r="G638" s="64">
        <v>0</v>
      </c>
      <c r="H638" s="64">
        <v>0</v>
      </c>
      <c r="I638" s="64">
        <v>0</v>
      </c>
      <c r="J638" s="64">
        <v>1</v>
      </c>
      <c r="K638" s="64"/>
    </row>
    <row r="639" spans="1:11">
      <c r="A639" s="65" t="s">
        <v>2028</v>
      </c>
      <c r="B639" s="64" t="s">
        <v>2107</v>
      </c>
      <c r="C639" s="64" t="s">
        <v>1364</v>
      </c>
      <c r="D639" t="s">
        <v>1818</v>
      </c>
      <c r="E639" s="64"/>
      <c r="F639" s="64"/>
      <c r="G639" s="64"/>
      <c r="H639" s="64"/>
      <c r="I639" s="64"/>
      <c r="J639" s="64"/>
      <c r="K639" s="64"/>
    </row>
    <row r="640" spans="1:11">
      <c r="A640" s="65" t="s">
        <v>2028</v>
      </c>
      <c r="B640" s="64" t="s">
        <v>2107</v>
      </c>
      <c r="C640" s="65" t="s">
        <v>1364</v>
      </c>
      <c r="D640" t="s">
        <v>626</v>
      </c>
      <c r="E640" s="64">
        <v>1</v>
      </c>
      <c r="F640" s="64">
        <v>1</v>
      </c>
      <c r="G640" s="64">
        <v>1</v>
      </c>
      <c r="H640" s="64"/>
      <c r="I640" s="64"/>
      <c r="J640" s="64"/>
      <c r="K640" s="64"/>
    </row>
    <row r="641" spans="1:11">
      <c r="A641" s="65" t="s">
        <v>2028</v>
      </c>
      <c r="B641" s="64" t="s">
        <v>2107</v>
      </c>
      <c r="C641" s="64" t="s">
        <v>1364</v>
      </c>
      <c r="D641" t="s">
        <v>1825</v>
      </c>
      <c r="E641" s="64"/>
      <c r="F641" s="64"/>
      <c r="G641" s="64"/>
      <c r="H641" s="64"/>
      <c r="I641" s="64"/>
      <c r="J641" s="64"/>
      <c r="K641" s="64"/>
    </row>
    <row r="642" spans="1:11">
      <c r="A642" s="65" t="s">
        <v>2028</v>
      </c>
      <c r="B642" s="64" t="s">
        <v>2107</v>
      </c>
      <c r="C642" s="64" t="s">
        <v>1364</v>
      </c>
      <c r="D642" t="s">
        <v>2192</v>
      </c>
    </row>
    <row r="643" spans="1:11">
      <c r="A643" s="65" t="s">
        <v>2028</v>
      </c>
      <c r="B643" s="64" t="s">
        <v>2107</v>
      </c>
      <c r="C643" s="64" t="s">
        <v>1364</v>
      </c>
      <c r="D643" t="s">
        <v>600</v>
      </c>
      <c r="E643" s="64"/>
      <c r="F643" s="64"/>
      <c r="G643" s="64"/>
      <c r="H643" s="64"/>
      <c r="I643" s="64"/>
      <c r="J643" s="64"/>
      <c r="K643" s="64"/>
    </row>
    <row r="644" spans="1:11">
      <c r="A644" s="65" t="s">
        <v>2028</v>
      </c>
      <c r="B644" s="64" t="s">
        <v>2107</v>
      </c>
      <c r="C644" s="64" t="s">
        <v>1364</v>
      </c>
      <c r="D644" t="s">
        <v>1836</v>
      </c>
      <c r="E644" s="64"/>
      <c r="F644" s="64"/>
      <c r="G644" s="64"/>
      <c r="H644" s="64"/>
      <c r="I644" s="64"/>
      <c r="J644" s="64"/>
      <c r="K644" s="64"/>
    </row>
    <row r="645" spans="1:11">
      <c r="A645" s="65" t="s">
        <v>2028</v>
      </c>
      <c r="B645" s="64" t="s">
        <v>2107</v>
      </c>
      <c r="C645" s="64" t="s">
        <v>1364</v>
      </c>
      <c r="D645" t="s">
        <v>623</v>
      </c>
      <c r="E645" s="64"/>
      <c r="F645" s="64"/>
      <c r="G645" s="64"/>
      <c r="H645" s="64">
        <v>0</v>
      </c>
      <c r="I645" s="64">
        <v>1</v>
      </c>
      <c r="J645" s="64">
        <v>1</v>
      </c>
      <c r="K645" s="64"/>
    </row>
    <row r="646" spans="1:11">
      <c r="A646" s="65" t="s">
        <v>2028</v>
      </c>
      <c r="B646" s="64" t="s">
        <v>2107</v>
      </c>
      <c r="C646" s="64" t="s">
        <v>1364</v>
      </c>
      <c r="D646" t="s">
        <v>617</v>
      </c>
      <c r="E646" s="64"/>
      <c r="F646" s="64"/>
      <c r="G646" s="64"/>
      <c r="H646" s="64"/>
      <c r="I646" s="64"/>
      <c r="J646" s="64"/>
      <c r="K646" s="64"/>
    </row>
    <row r="647" spans="1:11">
      <c r="A647" s="65" t="s">
        <v>2028</v>
      </c>
      <c r="B647" s="64" t="s">
        <v>2107</v>
      </c>
      <c r="C647" s="65" t="s">
        <v>1364</v>
      </c>
      <c r="D647" t="s">
        <v>616</v>
      </c>
      <c r="E647" s="64">
        <v>0</v>
      </c>
      <c r="F647" s="64">
        <v>0</v>
      </c>
      <c r="G647" s="64">
        <v>1</v>
      </c>
      <c r="H647" s="64">
        <v>1</v>
      </c>
      <c r="I647" s="64">
        <v>1</v>
      </c>
      <c r="J647" s="64">
        <v>0</v>
      </c>
      <c r="K647" s="64"/>
    </row>
    <row r="648" spans="1:11">
      <c r="A648" s="65" t="s">
        <v>2028</v>
      </c>
      <c r="B648" s="64" t="s">
        <v>2107</v>
      </c>
      <c r="C648" s="64" t="s">
        <v>1364</v>
      </c>
      <c r="D648" t="s">
        <v>628</v>
      </c>
      <c r="E648" s="64"/>
      <c r="F648" s="64"/>
      <c r="G648" s="64"/>
      <c r="H648" s="64"/>
      <c r="I648" s="64"/>
      <c r="J648" s="64"/>
      <c r="K648" s="64"/>
    </row>
    <row r="649" spans="1:11">
      <c r="A649" s="65" t="s">
        <v>2028</v>
      </c>
      <c r="B649" s="64" t="s">
        <v>2107</v>
      </c>
      <c r="C649" s="64" t="s">
        <v>1364</v>
      </c>
      <c r="D649" t="s">
        <v>1847</v>
      </c>
      <c r="E649" s="64"/>
      <c r="F649" s="64"/>
      <c r="G649" s="64"/>
      <c r="H649" s="64"/>
      <c r="I649" s="64"/>
      <c r="J649" s="64"/>
      <c r="K649" s="64"/>
    </row>
    <row r="650" spans="1:11">
      <c r="A650" s="65" t="s">
        <v>2028</v>
      </c>
      <c r="B650" s="64" t="s">
        <v>2107</v>
      </c>
      <c r="C650" s="64" t="s">
        <v>1364</v>
      </c>
      <c r="D650" t="s">
        <v>1850</v>
      </c>
      <c r="E650" s="64"/>
      <c r="F650" s="64"/>
      <c r="G650" s="64"/>
      <c r="H650" s="64"/>
      <c r="I650" s="64"/>
      <c r="J650" s="64"/>
      <c r="K650" s="64"/>
    </row>
    <row r="651" spans="1:11">
      <c r="A651" s="65" t="s">
        <v>2028</v>
      </c>
      <c r="B651" s="64" t="s">
        <v>2107</v>
      </c>
      <c r="C651" s="64" t="s">
        <v>1364</v>
      </c>
      <c r="D651" t="s">
        <v>1861</v>
      </c>
      <c r="E651" s="64"/>
      <c r="F651" s="64"/>
      <c r="G651" s="64"/>
      <c r="H651" s="64"/>
      <c r="I651" s="64"/>
      <c r="J651" s="64"/>
      <c r="K651" s="64"/>
    </row>
    <row r="652" spans="1:11">
      <c r="A652" s="65" t="s">
        <v>2028</v>
      </c>
      <c r="B652" s="64" t="s">
        <v>2107</v>
      </c>
      <c r="C652" s="64" t="s">
        <v>1364</v>
      </c>
      <c r="D652" t="s">
        <v>1867</v>
      </c>
      <c r="E652" s="64"/>
      <c r="F652" s="64"/>
      <c r="G652" s="64"/>
      <c r="H652" s="64">
        <v>1</v>
      </c>
      <c r="I652" s="64">
        <v>0</v>
      </c>
      <c r="J652" s="64">
        <v>1</v>
      </c>
      <c r="K652" s="64"/>
    </row>
    <row r="653" spans="1:11">
      <c r="A653" s="65" t="s">
        <v>2028</v>
      </c>
      <c r="B653" s="64" t="s">
        <v>2107</v>
      </c>
      <c r="C653" s="64" t="s">
        <v>1364</v>
      </c>
      <c r="D653" t="s">
        <v>1869</v>
      </c>
      <c r="E653" s="64"/>
      <c r="F653" s="64"/>
      <c r="G653" s="64"/>
      <c r="H653" s="64">
        <v>0</v>
      </c>
      <c r="I653" s="64">
        <v>1</v>
      </c>
      <c r="J653" s="64">
        <v>1</v>
      </c>
      <c r="K653" s="64"/>
    </row>
    <row r="654" spans="1:11">
      <c r="A654" s="65" t="s">
        <v>2028</v>
      </c>
      <c r="B654" s="64" t="s">
        <v>2107</v>
      </c>
      <c r="C654" s="64" t="s">
        <v>1364</v>
      </c>
      <c r="D654" t="s">
        <v>627</v>
      </c>
      <c r="E654" s="64"/>
      <c r="F654" s="64"/>
      <c r="G654" s="64"/>
      <c r="H654" s="64">
        <v>0</v>
      </c>
      <c r="I654" s="64">
        <v>1</v>
      </c>
      <c r="J654" s="64">
        <v>0</v>
      </c>
      <c r="K654" s="64"/>
    </row>
    <row r="655" spans="1:11">
      <c r="A655" s="65" t="s">
        <v>2028</v>
      </c>
      <c r="B655" s="64" t="s">
        <v>2107</v>
      </c>
      <c r="C655" s="64" t="s">
        <v>1364</v>
      </c>
      <c r="D655" t="s">
        <v>1873</v>
      </c>
      <c r="E655" s="64"/>
      <c r="F655" s="64"/>
      <c r="G655" s="64"/>
      <c r="H655" s="64">
        <v>0</v>
      </c>
      <c r="I655" s="64">
        <v>0</v>
      </c>
      <c r="J655" s="64">
        <v>1</v>
      </c>
      <c r="K655" s="64"/>
    </row>
    <row r="656" spans="1:11">
      <c r="A656" s="65" t="s">
        <v>2028</v>
      </c>
      <c r="B656" s="64" t="s">
        <v>2107</v>
      </c>
      <c r="C656" s="64" t="s">
        <v>1364</v>
      </c>
      <c r="D656" t="s">
        <v>1876</v>
      </c>
      <c r="E656" s="64"/>
      <c r="F656" s="64"/>
      <c r="G656" s="64"/>
      <c r="H656" s="64">
        <v>1</v>
      </c>
      <c r="I656" s="64">
        <v>0</v>
      </c>
      <c r="J656" s="64">
        <v>0</v>
      </c>
      <c r="K656" s="64"/>
    </row>
    <row r="657" spans="1:11">
      <c r="A657" s="65" t="s">
        <v>2028</v>
      </c>
      <c r="B657" s="64" t="s">
        <v>2107</v>
      </c>
      <c r="C657" s="65" t="s">
        <v>1364</v>
      </c>
      <c r="D657" t="s">
        <v>625</v>
      </c>
      <c r="E657" s="64">
        <v>1</v>
      </c>
      <c r="F657" s="64">
        <v>0</v>
      </c>
      <c r="G657" s="64">
        <v>1</v>
      </c>
      <c r="H657" s="64"/>
      <c r="I657" s="64"/>
      <c r="J657" s="64"/>
      <c r="K657" s="64"/>
    </row>
    <row r="658" spans="1:11">
      <c r="A658" s="65" t="s">
        <v>2028</v>
      </c>
      <c r="B658" s="64" t="s">
        <v>2107</v>
      </c>
      <c r="C658" s="65" t="s">
        <v>1364</v>
      </c>
      <c r="D658" t="s">
        <v>624</v>
      </c>
      <c r="E658" s="64">
        <v>1</v>
      </c>
      <c r="F658" s="64">
        <v>0</v>
      </c>
      <c r="G658" s="64">
        <v>1</v>
      </c>
      <c r="H658" s="64"/>
      <c r="I658" s="64"/>
      <c r="J658" s="64"/>
      <c r="K658" s="64"/>
    </row>
    <row r="659" spans="1:11">
      <c r="A659" s="65" t="s">
        <v>2028</v>
      </c>
      <c r="B659" s="64" t="s">
        <v>2107</v>
      </c>
      <c r="C659" s="64" t="s">
        <v>1364</v>
      </c>
      <c r="D659" t="s">
        <v>1884</v>
      </c>
      <c r="E659" s="64"/>
      <c r="F659" s="64"/>
      <c r="G659" s="64"/>
      <c r="H659" s="64"/>
      <c r="I659" s="64"/>
      <c r="J659" s="64"/>
      <c r="K659" s="64"/>
    </row>
    <row r="660" spans="1:11">
      <c r="A660" s="65" t="s">
        <v>2028</v>
      </c>
      <c r="B660" s="64" t="s">
        <v>2107</v>
      </c>
      <c r="C660" s="64" t="s">
        <v>1364</v>
      </c>
      <c r="D660" t="s">
        <v>1886</v>
      </c>
      <c r="E660" s="64"/>
      <c r="F660" s="64"/>
      <c r="G660" s="64"/>
      <c r="H660" s="64">
        <v>1</v>
      </c>
      <c r="I660" s="64">
        <v>0</v>
      </c>
      <c r="J660" s="64">
        <v>0</v>
      </c>
      <c r="K660" s="64"/>
    </row>
    <row r="661" spans="1:11">
      <c r="A661" s="65" t="s">
        <v>2028</v>
      </c>
      <c r="B661" s="64" t="s">
        <v>2107</v>
      </c>
      <c r="C661" s="64" t="s">
        <v>1364</v>
      </c>
      <c r="D661" t="s">
        <v>1888</v>
      </c>
      <c r="E661" s="64"/>
      <c r="F661" s="64"/>
      <c r="G661" s="64"/>
      <c r="H661" s="64"/>
      <c r="I661" s="64"/>
      <c r="J661" s="64"/>
      <c r="K661" s="64"/>
    </row>
    <row r="662" spans="1:11">
      <c r="A662" s="65" t="s">
        <v>2028</v>
      </c>
      <c r="B662" s="64" t="s">
        <v>2107</v>
      </c>
      <c r="C662" s="64" t="s">
        <v>1364</v>
      </c>
      <c r="D662" t="s">
        <v>621</v>
      </c>
      <c r="E662" s="64">
        <v>1</v>
      </c>
      <c r="F662" s="64">
        <v>0</v>
      </c>
      <c r="G662" s="64">
        <v>1</v>
      </c>
      <c r="H662" s="64">
        <v>1</v>
      </c>
      <c r="I662" s="64">
        <v>0</v>
      </c>
      <c r="J662" s="64">
        <v>0</v>
      </c>
      <c r="K662" s="64"/>
    </row>
    <row r="663" spans="1:11">
      <c r="A663" s="65" t="s">
        <v>2028</v>
      </c>
      <c r="B663" s="64" t="s">
        <v>2107</v>
      </c>
      <c r="C663" s="65" t="s">
        <v>1364</v>
      </c>
      <c r="D663" t="s">
        <v>630</v>
      </c>
      <c r="E663" s="64">
        <v>1</v>
      </c>
      <c r="F663" s="64">
        <v>0</v>
      </c>
      <c r="G663" s="64">
        <v>1</v>
      </c>
      <c r="H663" s="64">
        <v>0</v>
      </c>
      <c r="I663" s="64">
        <v>1</v>
      </c>
      <c r="J663" s="64">
        <v>1</v>
      </c>
      <c r="K663" s="64"/>
    </row>
    <row r="664" spans="1:11">
      <c r="A664" s="65" t="s">
        <v>2028</v>
      </c>
      <c r="B664" s="64" t="s">
        <v>2107</v>
      </c>
      <c r="C664" s="64" t="s">
        <v>1364</v>
      </c>
      <c r="D664" t="s">
        <v>622</v>
      </c>
      <c r="E664" s="64">
        <v>1</v>
      </c>
      <c r="F664" s="64">
        <v>0</v>
      </c>
      <c r="G664" s="64">
        <v>0</v>
      </c>
      <c r="H664" s="64">
        <v>0</v>
      </c>
      <c r="I664" s="64">
        <v>1</v>
      </c>
      <c r="J664" s="64">
        <v>1</v>
      </c>
      <c r="K664" s="64"/>
    </row>
    <row r="665" spans="1:11">
      <c r="A665" s="65" t="s">
        <v>2028</v>
      </c>
      <c r="B665" s="64" t="s">
        <v>2107</v>
      </c>
      <c r="C665" s="64" t="s">
        <v>1364</v>
      </c>
      <c r="D665" t="s">
        <v>1641</v>
      </c>
      <c r="E665" s="64"/>
      <c r="F665" s="64"/>
      <c r="G665" s="64"/>
      <c r="H665" s="64"/>
      <c r="I665" s="64"/>
      <c r="J665" s="64"/>
      <c r="K665" s="64"/>
    </row>
    <row r="666" spans="1:11">
      <c r="A666" s="65" t="s">
        <v>2028</v>
      </c>
      <c r="B666" s="64" t="s">
        <v>2107</v>
      </c>
      <c r="C666" s="64" t="s">
        <v>1364</v>
      </c>
      <c r="D666" t="s">
        <v>1916</v>
      </c>
      <c r="E666" s="64"/>
      <c r="F666" s="64"/>
      <c r="G666" s="64"/>
      <c r="H666" s="64">
        <v>1</v>
      </c>
      <c r="I666" s="64">
        <v>0</v>
      </c>
      <c r="J666" s="64">
        <v>0</v>
      </c>
      <c r="K666" s="64"/>
    </row>
    <row r="667" spans="1:11">
      <c r="A667" s="65" t="s">
        <v>2028</v>
      </c>
      <c r="B667" s="64" t="s">
        <v>2107</v>
      </c>
      <c r="C667" s="64" t="s">
        <v>1364</v>
      </c>
      <c r="D667" t="s">
        <v>1918</v>
      </c>
      <c r="E667" s="64"/>
      <c r="F667" s="64"/>
      <c r="G667" s="64"/>
      <c r="H667" s="64"/>
      <c r="I667" s="64"/>
      <c r="J667" s="64"/>
      <c r="K667" s="64"/>
    </row>
    <row r="668" spans="1:11">
      <c r="A668" s="65" t="s">
        <v>2028</v>
      </c>
      <c r="B668" s="64" t="s">
        <v>2107</v>
      </c>
      <c r="C668" s="64" t="s">
        <v>1364</v>
      </c>
      <c r="D668" t="s">
        <v>1923</v>
      </c>
      <c r="E668" s="64"/>
      <c r="F668" s="64"/>
      <c r="G668" s="64"/>
      <c r="H668" s="64">
        <v>1</v>
      </c>
      <c r="I668" s="64">
        <v>1</v>
      </c>
      <c r="J668" s="64">
        <v>1</v>
      </c>
      <c r="K668" s="64"/>
    </row>
    <row r="669" spans="1:11">
      <c r="A669" s="65" t="s">
        <v>2028</v>
      </c>
      <c r="B669" s="64" t="s">
        <v>2107</v>
      </c>
      <c r="C669" s="64" t="s">
        <v>1364</v>
      </c>
      <c r="D669" t="s">
        <v>1941</v>
      </c>
      <c r="E669" s="64"/>
      <c r="F669" s="64"/>
      <c r="G669" s="64"/>
      <c r="H669" s="64">
        <v>1</v>
      </c>
      <c r="I669" s="64">
        <v>1</v>
      </c>
      <c r="J669" s="64">
        <v>1</v>
      </c>
      <c r="K669" s="64"/>
    </row>
    <row r="670" spans="1:11">
      <c r="A670" s="65" t="s">
        <v>2028</v>
      </c>
      <c r="B670" s="64" t="s">
        <v>2107</v>
      </c>
      <c r="C670" s="65" t="s">
        <v>1364</v>
      </c>
      <c r="D670" t="s">
        <v>620</v>
      </c>
      <c r="E670" s="64">
        <v>1</v>
      </c>
      <c r="F670" s="64">
        <v>0</v>
      </c>
      <c r="G670" s="64">
        <v>1</v>
      </c>
      <c r="H670" s="64"/>
      <c r="I670" s="64"/>
      <c r="J670" s="64"/>
      <c r="K670" s="64"/>
    </row>
    <row r="671" spans="1:11">
      <c r="A671" s="65" t="s">
        <v>2028</v>
      </c>
      <c r="B671" s="64" t="s">
        <v>2107</v>
      </c>
      <c r="C671" s="64" t="s">
        <v>1364</v>
      </c>
      <c r="D671" t="s">
        <v>515</v>
      </c>
      <c r="E671" s="64"/>
      <c r="F671" s="64"/>
      <c r="G671" s="64"/>
      <c r="H671" s="64"/>
      <c r="I671" s="64"/>
      <c r="J671" s="64"/>
      <c r="K671" s="64"/>
    </row>
    <row r="672" spans="1:11">
      <c r="A672" s="65" t="s">
        <v>2028</v>
      </c>
      <c r="B672" s="64" t="s">
        <v>2107</v>
      </c>
      <c r="C672" s="64" t="s">
        <v>1364</v>
      </c>
      <c r="D672" t="s">
        <v>1957</v>
      </c>
      <c r="E672" s="64"/>
      <c r="F672" s="64"/>
      <c r="G672" s="64"/>
      <c r="H672" s="64"/>
      <c r="I672" s="64"/>
      <c r="J672" s="64"/>
      <c r="K672" s="64"/>
    </row>
    <row r="673" spans="1:11">
      <c r="A673" s="65" t="s">
        <v>2028</v>
      </c>
      <c r="B673" s="64" t="s">
        <v>2107</v>
      </c>
      <c r="C673" s="64" t="s">
        <v>1364</v>
      </c>
      <c r="D673" t="s">
        <v>615</v>
      </c>
      <c r="E673" s="64"/>
      <c r="F673" s="64"/>
      <c r="G673" s="64"/>
      <c r="H673" s="64"/>
      <c r="I673" s="64"/>
      <c r="J673" s="64"/>
      <c r="K673" s="64"/>
    </row>
    <row r="674" spans="1:11">
      <c r="A674" s="65" t="s">
        <v>2028</v>
      </c>
      <c r="B674" s="64" t="s">
        <v>2107</v>
      </c>
      <c r="C674" s="64" t="s">
        <v>1364</v>
      </c>
      <c r="D674" t="s">
        <v>1961</v>
      </c>
      <c r="E674" s="64"/>
      <c r="F674" s="64"/>
      <c r="G674" s="64"/>
      <c r="H674" s="64">
        <v>1</v>
      </c>
      <c r="I674" s="64">
        <v>1</v>
      </c>
      <c r="J674" s="64">
        <v>1</v>
      </c>
      <c r="K674" s="64"/>
    </row>
    <row r="675" spans="1:11">
      <c r="A675" s="65" t="s">
        <v>2028</v>
      </c>
      <c r="B675" s="64" t="s">
        <v>2107</v>
      </c>
      <c r="C675" s="64" t="s">
        <v>1364</v>
      </c>
      <c r="D675" t="s">
        <v>1963</v>
      </c>
      <c r="E675" s="64"/>
      <c r="F675" s="64"/>
      <c r="G675" s="64"/>
      <c r="H675" s="64"/>
      <c r="I675" s="64"/>
      <c r="J675" s="64"/>
      <c r="K675" s="64"/>
    </row>
    <row r="676" spans="1:11">
      <c r="A676" s="65" t="s">
        <v>2028</v>
      </c>
      <c r="B676" s="64" t="s">
        <v>2107</v>
      </c>
      <c r="C676" s="64" t="s">
        <v>1364</v>
      </c>
      <c r="D676" t="s">
        <v>1968</v>
      </c>
      <c r="E676" s="64"/>
      <c r="F676" s="64"/>
      <c r="G676" s="64"/>
      <c r="H676" s="64"/>
      <c r="I676" s="64"/>
      <c r="J676" s="64"/>
      <c r="K676" s="64"/>
    </row>
    <row r="677" spans="1:11">
      <c r="A677" s="65" t="s">
        <v>2028</v>
      </c>
      <c r="B677" s="64" t="s">
        <v>2107</v>
      </c>
      <c r="C677" s="64" t="s">
        <v>1364</v>
      </c>
      <c r="D677" t="s">
        <v>1971</v>
      </c>
      <c r="E677" s="64"/>
      <c r="F677" s="64"/>
      <c r="G677" s="64"/>
      <c r="H677" s="64">
        <v>1</v>
      </c>
      <c r="I677" s="64">
        <v>1</v>
      </c>
      <c r="J677" s="64">
        <v>0</v>
      </c>
      <c r="K677" s="64"/>
    </row>
    <row r="678" spans="1:11">
      <c r="A678" s="65" t="s">
        <v>2028</v>
      </c>
      <c r="B678" s="64" t="s">
        <v>2107</v>
      </c>
      <c r="C678" s="64" t="s">
        <v>1364</v>
      </c>
      <c r="D678" t="s">
        <v>1992</v>
      </c>
      <c r="E678" s="64"/>
      <c r="F678" s="64"/>
      <c r="G678" s="64"/>
      <c r="H678" s="64"/>
      <c r="I678" s="64"/>
      <c r="J678" s="64"/>
      <c r="K678" s="64"/>
    </row>
    <row r="679" spans="1:11">
      <c r="A679" s="65" t="s">
        <v>2028</v>
      </c>
      <c r="B679" s="64" t="s">
        <v>2107</v>
      </c>
      <c r="C679" s="64" t="s">
        <v>1364</v>
      </c>
      <c r="D679" t="s">
        <v>1994</v>
      </c>
      <c r="E679" s="64"/>
      <c r="F679" s="64"/>
      <c r="G679" s="64"/>
      <c r="H679" s="64"/>
      <c r="I679" s="64"/>
      <c r="J679" s="64"/>
      <c r="K679" s="64"/>
    </row>
    <row r="680" spans="1:11">
      <c r="A680" s="65" t="s">
        <v>2028</v>
      </c>
      <c r="B680" s="64" t="s">
        <v>2107</v>
      </c>
      <c r="C680" s="65" t="s">
        <v>1364</v>
      </c>
      <c r="D680" t="s">
        <v>629</v>
      </c>
      <c r="E680" s="64">
        <v>1</v>
      </c>
      <c r="F680" s="64">
        <v>0</v>
      </c>
      <c r="G680" s="64">
        <v>1</v>
      </c>
      <c r="H680" s="64">
        <v>1</v>
      </c>
      <c r="I680" s="64">
        <v>0</v>
      </c>
      <c r="J680" s="64">
        <v>1</v>
      </c>
      <c r="K680" s="64"/>
    </row>
    <row r="681" spans="1:11">
      <c r="A681" s="65" t="s">
        <v>2028</v>
      </c>
      <c r="B681" s="64" t="s">
        <v>2107</v>
      </c>
      <c r="C681" s="65" t="s">
        <v>1364</v>
      </c>
      <c r="D681" t="s">
        <v>659</v>
      </c>
      <c r="E681" s="64">
        <v>0</v>
      </c>
      <c r="F681" s="64">
        <v>0</v>
      </c>
      <c r="G681" s="64">
        <v>1</v>
      </c>
      <c r="H681" s="64"/>
      <c r="I681" s="64"/>
      <c r="J681" s="64"/>
      <c r="K681" s="64"/>
    </row>
    <row r="682" spans="1:11">
      <c r="A682" s="65" t="s">
        <v>2028</v>
      </c>
      <c r="B682" s="64" t="s">
        <v>2107</v>
      </c>
      <c r="C682" s="64" t="s">
        <v>1364</v>
      </c>
      <c r="D682" t="s">
        <v>2012</v>
      </c>
      <c r="E682" s="64"/>
      <c r="F682" s="64"/>
      <c r="G682" s="64"/>
      <c r="H682" s="64">
        <v>1</v>
      </c>
      <c r="I682" s="64">
        <v>0</v>
      </c>
      <c r="J682" s="64">
        <v>1</v>
      </c>
      <c r="K682" s="64"/>
    </row>
    <row r="683" spans="1:11">
      <c r="A683" s="65" t="s">
        <v>2028</v>
      </c>
      <c r="B683" s="64" t="s">
        <v>2107</v>
      </c>
      <c r="C683" s="65" t="s">
        <v>1364</v>
      </c>
      <c r="D683" t="s">
        <v>619</v>
      </c>
      <c r="E683" s="64">
        <v>1</v>
      </c>
      <c r="F683" s="64">
        <v>0</v>
      </c>
      <c r="G683" s="64">
        <v>1</v>
      </c>
      <c r="H683" s="64">
        <v>0</v>
      </c>
      <c r="I683" s="64">
        <v>1</v>
      </c>
      <c r="J683" s="64">
        <v>0</v>
      </c>
      <c r="K683" s="64"/>
    </row>
    <row r="684" spans="1:11">
      <c r="A684" s="65" t="s">
        <v>2028</v>
      </c>
      <c r="B684" s="64" t="s">
        <v>2107</v>
      </c>
      <c r="C684" s="64" t="s">
        <v>1364</v>
      </c>
      <c r="D684" t="s">
        <v>2021</v>
      </c>
      <c r="E684" s="64"/>
      <c r="F684" s="64"/>
      <c r="G684" s="64"/>
      <c r="H684" s="64"/>
      <c r="I684" s="64"/>
      <c r="J684" s="64"/>
      <c r="K684" s="64"/>
    </row>
    <row r="685" spans="1:11">
      <c r="A685" s="65" t="s">
        <v>2028</v>
      </c>
      <c r="B685" s="64" t="s">
        <v>2107</v>
      </c>
      <c r="C685" s="68" t="s">
        <v>1364</v>
      </c>
      <c r="D685" t="s">
        <v>2022</v>
      </c>
      <c r="E685" s="64"/>
      <c r="F685" s="64"/>
      <c r="G685" s="64"/>
      <c r="H685" s="64"/>
      <c r="I685" s="64"/>
      <c r="J685" s="64"/>
      <c r="K685" s="64"/>
    </row>
    <row r="686" spans="1:11">
      <c r="A686" s="65" t="s">
        <v>2028</v>
      </c>
      <c r="B686" s="64" t="s">
        <v>2107</v>
      </c>
      <c r="C686" s="64" t="s">
        <v>1364</v>
      </c>
      <c r="D686" t="s">
        <v>2025</v>
      </c>
      <c r="E686" s="64"/>
      <c r="F686" s="64"/>
      <c r="G686" s="64"/>
      <c r="H686" s="64">
        <v>1</v>
      </c>
      <c r="I686" s="64">
        <v>0</v>
      </c>
      <c r="J686" s="64">
        <v>1</v>
      </c>
      <c r="K686" s="64"/>
    </row>
    <row r="687" spans="1:11">
      <c r="A687" s="65" t="s">
        <v>2028</v>
      </c>
      <c r="B687" s="64" t="s">
        <v>2107</v>
      </c>
      <c r="C687" s="64" t="s">
        <v>1277</v>
      </c>
      <c r="D687" t="s">
        <v>2253</v>
      </c>
    </row>
  </sheetData>
  <autoFilter ref="A1:G686" xr:uid="{AC9C930E-A1E4-4DA2-8EBC-ADDE20A4DDAA}">
    <sortState xmlns:xlrd2="http://schemas.microsoft.com/office/spreadsheetml/2017/richdata2" ref="A2:G684">
      <sortCondition ref="A1:A684"/>
    </sortState>
  </autoFilter>
  <sortState xmlns:xlrd2="http://schemas.microsoft.com/office/spreadsheetml/2017/richdata2" ref="A2:K686">
    <sortCondition ref="B2:B686"/>
    <sortCondition ref="C2:C686"/>
    <sortCondition ref="D2:D686"/>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5F51F-D57B-4B47-8D68-FAD65AD93794}">
  <dimension ref="A1:K9"/>
  <sheetViews>
    <sheetView workbookViewId="0">
      <selection activeCell="A4" sqref="A4"/>
    </sheetView>
  </sheetViews>
  <sheetFormatPr defaultRowHeight="14.4"/>
  <sheetData>
    <row r="1" spans="1:11">
      <c r="B1" t="s">
        <v>2113</v>
      </c>
    </row>
    <row r="2" spans="1:11">
      <c r="B2" t="s">
        <v>674</v>
      </c>
    </row>
    <row r="3" spans="1:11">
      <c r="B3" t="s">
        <v>2114</v>
      </c>
      <c r="C3" t="s">
        <v>2115</v>
      </c>
      <c r="D3" t="s">
        <v>2116</v>
      </c>
      <c r="E3" t="s">
        <v>2117</v>
      </c>
      <c r="F3" t="s">
        <v>2118</v>
      </c>
      <c r="G3" t="s">
        <v>2119</v>
      </c>
      <c r="H3" t="s">
        <v>2120</v>
      </c>
      <c r="I3" t="s">
        <v>2121</v>
      </c>
      <c r="J3" t="s">
        <v>2122</v>
      </c>
      <c r="K3" t="s">
        <v>2123</v>
      </c>
    </row>
    <row r="4" spans="1:11">
      <c r="A4" t="s">
        <v>2129</v>
      </c>
      <c r="B4" t="s">
        <v>2124</v>
      </c>
    </row>
    <row r="5" spans="1:11">
      <c r="A5" t="s">
        <v>2128</v>
      </c>
    </row>
    <row r="6" spans="1:11">
      <c r="A6" t="s">
        <v>2112</v>
      </c>
      <c r="B6" t="s">
        <v>2125</v>
      </c>
    </row>
    <row r="7" spans="1:11">
      <c r="B7" t="s">
        <v>2126</v>
      </c>
    </row>
    <row r="9" spans="1:11">
      <c r="A9" t="s">
        <v>2127</v>
      </c>
    </row>
  </sheetData>
  <phoneticPr fontId="26"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8FCA89-58BF-49B8-98B9-FD9DF9EC7ED4}">
  <dimension ref="A1:L823"/>
  <sheetViews>
    <sheetView workbookViewId="0">
      <selection activeCell="L242" sqref="L1:L1048576"/>
    </sheetView>
  </sheetViews>
  <sheetFormatPr defaultRowHeight="14.4"/>
  <cols>
    <col min="1" max="1" width="31.5546875" bestFit="1" customWidth="1"/>
    <col min="6" max="6" width="31.5546875" bestFit="1" customWidth="1"/>
    <col min="7" max="7" width="29" bestFit="1" customWidth="1"/>
  </cols>
  <sheetData>
    <row r="1" spans="1:12">
      <c r="A1" s="6" t="s">
        <v>667</v>
      </c>
      <c r="B1" t="str">
        <f>LOWER(A1)</f>
        <v>indicator</v>
      </c>
      <c r="F1" s="61" t="s">
        <v>667</v>
      </c>
      <c r="G1" t="str">
        <f>TRIM(SUBSTITUTE(F1,CHAR(160)," "))</f>
        <v>indicator</v>
      </c>
      <c r="H1" t="s">
        <v>667</v>
      </c>
      <c r="L1" t="s">
        <v>667</v>
      </c>
    </row>
    <row r="2" spans="1:12">
      <c r="A2" t="s">
        <v>1712</v>
      </c>
      <c r="B2" t="str">
        <f t="shared" ref="B2:B65" si="0">LOWER(A2)</f>
        <v>access to extension</v>
      </c>
      <c r="F2" s="64" t="s">
        <v>1712</v>
      </c>
      <c r="G2" t="str">
        <f t="shared" ref="G2:G65" si="1">TRIM(SUBSTITUTE(F2,CHAR(160)," "))</f>
        <v>access to extension</v>
      </c>
      <c r="H2" t="s">
        <v>1712</v>
      </c>
      <c r="L2" t="s">
        <v>1712</v>
      </c>
    </row>
    <row r="3" spans="1:12">
      <c r="A3" t="s">
        <v>1466</v>
      </c>
      <c r="B3" t="str">
        <f t="shared" si="0"/>
        <v>access to extension </v>
      </c>
      <c r="F3" s="64" t="s">
        <v>1800</v>
      </c>
      <c r="G3" t="str">
        <f t="shared" si="1"/>
        <v>access to finance</v>
      </c>
      <c r="H3" t="s">
        <v>1800</v>
      </c>
      <c r="L3" t="s">
        <v>2032</v>
      </c>
    </row>
    <row r="4" spans="1:12">
      <c r="A4" t="s">
        <v>1246</v>
      </c>
      <c r="B4" t="str">
        <f t="shared" si="0"/>
        <v>access to finance </v>
      </c>
      <c r="F4" s="64" t="s">
        <v>1801</v>
      </c>
      <c r="G4" t="str">
        <f t="shared" si="1"/>
        <v>active carbon</v>
      </c>
      <c r="H4" t="s">
        <v>1801</v>
      </c>
      <c r="L4" t="s">
        <v>1801</v>
      </c>
    </row>
    <row r="5" spans="1:12">
      <c r="A5" t="s">
        <v>450</v>
      </c>
      <c r="B5" t="str">
        <f t="shared" si="0"/>
        <v>active carbon</v>
      </c>
      <c r="F5" s="64" t="s">
        <v>1802</v>
      </c>
      <c r="G5" t="str">
        <f t="shared" si="1"/>
        <v>aggregate stability</v>
      </c>
      <c r="H5" t="s">
        <v>1802</v>
      </c>
      <c r="L5" t="s">
        <v>1802</v>
      </c>
    </row>
    <row r="6" spans="1:12">
      <c r="A6" t="s">
        <v>468</v>
      </c>
      <c r="B6" t="str">
        <f t="shared" si="0"/>
        <v>aggregate stability</v>
      </c>
      <c r="F6" s="64" t="s">
        <v>613</v>
      </c>
      <c r="G6" t="str">
        <f t="shared" si="1"/>
        <v>agroecological</v>
      </c>
      <c r="H6" t="s">
        <v>613</v>
      </c>
      <c r="L6" t="s">
        <v>613</v>
      </c>
    </row>
    <row r="7" spans="1:12">
      <c r="A7" t="s">
        <v>613</v>
      </c>
      <c r="B7" t="str">
        <f t="shared" si="0"/>
        <v>agroecological</v>
      </c>
      <c r="F7" s="64" t="s">
        <v>614</v>
      </c>
      <c r="G7" t="str">
        <f t="shared" si="1"/>
        <v>agroecology</v>
      </c>
      <c r="H7" t="s">
        <v>614</v>
      </c>
      <c r="L7" t="s">
        <v>614</v>
      </c>
    </row>
    <row r="8" spans="1:12">
      <c r="A8" t="s">
        <v>613</v>
      </c>
      <c r="B8" t="str">
        <f t="shared" si="0"/>
        <v>agroecological</v>
      </c>
      <c r="F8" s="64" t="s">
        <v>1803</v>
      </c>
      <c r="G8" t="str">
        <f t="shared" si="1"/>
        <v>agroforestry</v>
      </c>
      <c r="H8" t="s">
        <v>1803</v>
      </c>
      <c r="L8" t="s">
        <v>1803</v>
      </c>
    </row>
    <row r="9" spans="1:12">
      <c r="A9" t="s">
        <v>1366</v>
      </c>
      <c r="B9" t="str">
        <f t="shared" si="0"/>
        <v>agroecological </v>
      </c>
      <c r="F9" s="64" t="s">
        <v>650</v>
      </c>
      <c r="G9" t="str">
        <f t="shared" si="1"/>
        <v>alignment</v>
      </c>
      <c r="H9" t="s">
        <v>650</v>
      </c>
      <c r="L9" t="s">
        <v>650</v>
      </c>
    </row>
    <row r="10" spans="1:12">
      <c r="A10" t="s">
        <v>614</v>
      </c>
      <c r="B10" t="str">
        <f t="shared" si="0"/>
        <v>agroecology</v>
      </c>
      <c r="F10" s="64" t="s">
        <v>1804</v>
      </c>
      <c r="G10" t="str">
        <f t="shared" si="1"/>
        <v>alley</v>
      </c>
      <c r="H10" t="s">
        <v>1804</v>
      </c>
      <c r="L10" t="s">
        <v>1804</v>
      </c>
    </row>
    <row r="11" spans="1:12">
      <c r="A11" t="s">
        <v>614</v>
      </c>
      <c r="B11" t="str">
        <f t="shared" si="0"/>
        <v>agroecology</v>
      </c>
      <c r="F11" s="64" t="s">
        <v>1804</v>
      </c>
      <c r="G11" t="str">
        <f t="shared" si="1"/>
        <v>alley</v>
      </c>
      <c r="H11" t="s">
        <v>1804</v>
      </c>
      <c r="L11" t="s">
        <v>1804</v>
      </c>
    </row>
    <row r="12" spans="1:12">
      <c r="A12" t="s">
        <v>1367</v>
      </c>
      <c r="B12" t="str">
        <f t="shared" si="0"/>
        <v>agroecology </v>
      </c>
      <c r="F12" s="64" t="s">
        <v>1805</v>
      </c>
      <c r="G12" t="str">
        <f t="shared" si="1"/>
        <v>aluminium</v>
      </c>
      <c r="H12" t="s">
        <v>1805</v>
      </c>
      <c r="L12" t="s">
        <v>1805</v>
      </c>
    </row>
    <row r="13" spans="1:12">
      <c r="A13" t="s">
        <v>1436</v>
      </c>
      <c r="B13" t="str">
        <f t="shared" si="0"/>
        <v>agroforestry</v>
      </c>
      <c r="F13" s="73" t="s">
        <v>661</v>
      </c>
      <c r="G13" t="str">
        <f t="shared" si="1"/>
        <v>animal health</v>
      </c>
      <c r="H13" t="s">
        <v>661</v>
      </c>
      <c r="L13" t="s">
        <v>661</v>
      </c>
    </row>
    <row r="14" spans="1:12">
      <c r="A14" t="s">
        <v>1386</v>
      </c>
      <c r="B14" t="str">
        <f t="shared" si="0"/>
        <v>agroforestry </v>
      </c>
      <c r="F14" s="64" t="s">
        <v>661</v>
      </c>
      <c r="G14" t="str">
        <f t="shared" si="1"/>
        <v>animal health</v>
      </c>
      <c r="H14" t="s">
        <v>661</v>
      </c>
      <c r="L14" t="s">
        <v>661</v>
      </c>
    </row>
    <row r="15" spans="1:12">
      <c r="A15" t="s">
        <v>650</v>
      </c>
      <c r="B15" t="str">
        <f t="shared" si="0"/>
        <v>alignment</v>
      </c>
      <c r="F15" s="64" t="s">
        <v>1675</v>
      </c>
      <c r="G15" t="str">
        <f t="shared" si="1"/>
        <v>association</v>
      </c>
      <c r="H15" t="s">
        <v>1675</v>
      </c>
      <c r="L15" t="s">
        <v>1675</v>
      </c>
    </row>
    <row r="16" spans="1:12">
      <c r="A16" t="s">
        <v>650</v>
      </c>
      <c r="B16" t="str">
        <f t="shared" si="0"/>
        <v>alignment</v>
      </c>
      <c r="F16" s="64" t="s">
        <v>1675</v>
      </c>
      <c r="G16" t="str">
        <f t="shared" si="1"/>
        <v>association</v>
      </c>
      <c r="H16" t="s">
        <v>1675</v>
      </c>
      <c r="L16" t="s">
        <v>1675</v>
      </c>
    </row>
    <row r="17" spans="1:12">
      <c r="A17" t="s">
        <v>1553</v>
      </c>
      <c r="B17" t="str">
        <f t="shared" si="0"/>
        <v>alignment </v>
      </c>
      <c r="F17" s="64" t="s">
        <v>1806</v>
      </c>
      <c r="G17" t="str">
        <f t="shared" si="1"/>
        <v>association</v>
      </c>
      <c r="H17" t="s">
        <v>1806</v>
      </c>
      <c r="L17" t="s">
        <v>1675</v>
      </c>
    </row>
    <row r="18" spans="1:12">
      <c r="A18" t="s">
        <v>1561</v>
      </c>
      <c r="B18" t="str">
        <f t="shared" si="0"/>
        <v>alley</v>
      </c>
      <c r="F18" s="64" t="s">
        <v>1677</v>
      </c>
      <c r="G18" t="str">
        <f t="shared" si="1"/>
        <v>autonomy</v>
      </c>
      <c r="H18" t="s">
        <v>1677</v>
      </c>
      <c r="L18" t="s">
        <v>1677</v>
      </c>
    </row>
    <row r="19" spans="1:12">
      <c r="A19" t="s">
        <v>1387</v>
      </c>
      <c r="B19" t="str">
        <f t="shared" si="0"/>
        <v>alley </v>
      </c>
      <c r="F19" s="64" t="s">
        <v>653</v>
      </c>
      <c r="G19" t="str">
        <f t="shared" si="1"/>
        <v>balance</v>
      </c>
      <c r="H19" t="s">
        <v>653</v>
      </c>
      <c r="L19" t="s">
        <v>653</v>
      </c>
    </row>
    <row r="20" spans="1:12">
      <c r="A20" t="s">
        <v>1719</v>
      </c>
      <c r="B20" t="str">
        <f t="shared" si="0"/>
        <v>aluminium</v>
      </c>
      <c r="F20" s="64" t="s">
        <v>548</v>
      </c>
      <c r="G20" t="str">
        <f t="shared" si="1"/>
        <v>balanced diet</v>
      </c>
      <c r="H20" t="s">
        <v>548</v>
      </c>
      <c r="L20" t="s">
        <v>548</v>
      </c>
    </row>
    <row r="21" spans="1:12" ht="16.8">
      <c r="A21" s="2" t="s">
        <v>661</v>
      </c>
      <c r="B21" t="str">
        <f t="shared" si="0"/>
        <v>animal health</v>
      </c>
      <c r="F21" s="66" t="s">
        <v>1633</v>
      </c>
      <c r="G21" t="str">
        <f t="shared" si="1"/>
        <v>band</v>
      </c>
      <c r="H21" t="s">
        <v>1633</v>
      </c>
      <c r="L21" t="s">
        <v>1633</v>
      </c>
    </row>
    <row r="22" spans="1:12">
      <c r="A22" t="s">
        <v>661</v>
      </c>
      <c r="B22" t="str">
        <f t="shared" si="0"/>
        <v>animal health</v>
      </c>
      <c r="F22" s="65" t="s">
        <v>1633</v>
      </c>
      <c r="G22" t="str">
        <f t="shared" si="1"/>
        <v>band</v>
      </c>
      <c r="H22" t="s">
        <v>1633</v>
      </c>
      <c r="L22" t="s">
        <v>1633</v>
      </c>
    </row>
    <row r="23" spans="1:12">
      <c r="A23" t="s">
        <v>1549</v>
      </c>
      <c r="B23" t="str">
        <f t="shared" si="0"/>
        <v>animal health </v>
      </c>
      <c r="F23" s="64" t="s">
        <v>1807</v>
      </c>
      <c r="G23" t="str">
        <f t="shared" si="1"/>
        <v>base saturation</v>
      </c>
      <c r="H23" t="s">
        <v>1807</v>
      </c>
      <c r="L23" t="s">
        <v>1807</v>
      </c>
    </row>
    <row r="24" spans="1:12">
      <c r="A24" t="s">
        <v>1675</v>
      </c>
      <c r="B24" t="str">
        <f t="shared" si="0"/>
        <v>association</v>
      </c>
      <c r="F24" s="65" t="s">
        <v>601</v>
      </c>
      <c r="G24" t="str">
        <f t="shared" si="1"/>
        <v>biochar</v>
      </c>
      <c r="H24" t="s">
        <v>601</v>
      </c>
      <c r="L24" t="s">
        <v>601</v>
      </c>
    </row>
    <row r="25" spans="1:12">
      <c r="A25" t="s">
        <v>1247</v>
      </c>
      <c r="B25" t="str">
        <f t="shared" si="0"/>
        <v>association </v>
      </c>
      <c r="F25" s="66" t="s">
        <v>601</v>
      </c>
      <c r="G25" t="str">
        <f t="shared" si="1"/>
        <v>biochar</v>
      </c>
      <c r="H25" t="s">
        <v>601</v>
      </c>
      <c r="L25" t="s">
        <v>601</v>
      </c>
    </row>
    <row r="26" spans="1:12">
      <c r="A26" t="s">
        <v>1247</v>
      </c>
      <c r="B26" t="str">
        <f t="shared" si="0"/>
        <v>association </v>
      </c>
      <c r="F26" s="64" t="s">
        <v>601</v>
      </c>
      <c r="G26" t="str">
        <f t="shared" si="1"/>
        <v>biochar</v>
      </c>
      <c r="H26" t="s">
        <v>601</v>
      </c>
      <c r="L26" t="s">
        <v>601</v>
      </c>
    </row>
    <row r="27" spans="1:12">
      <c r="A27" t="s">
        <v>1677</v>
      </c>
      <c r="B27" t="str">
        <f t="shared" si="0"/>
        <v>autonomy</v>
      </c>
      <c r="F27" s="73" t="s">
        <v>618</v>
      </c>
      <c r="G27" t="str">
        <f t="shared" si="1"/>
        <v>biodiversity</v>
      </c>
      <c r="H27" t="s">
        <v>618</v>
      </c>
      <c r="L27" t="s">
        <v>618</v>
      </c>
    </row>
    <row r="28" spans="1:12">
      <c r="A28" t="s">
        <v>1766</v>
      </c>
      <c r="B28" t="str">
        <f t="shared" si="0"/>
        <v>autonomy </v>
      </c>
      <c r="F28" s="66" t="s">
        <v>618</v>
      </c>
      <c r="G28" t="str">
        <f t="shared" si="1"/>
        <v>biodiversity</v>
      </c>
      <c r="H28" t="s">
        <v>618</v>
      </c>
      <c r="L28" t="s">
        <v>618</v>
      </c>
    </row>
    <row r="29" spans="1:12">
      <c r="A29" t="s">
        <v>653</v>
      </c>
      <c r="B29" t="str">
        <f t="shared" si="0"/>
        <v>balance</v>
      </c>
      <c r="F29" s="66" t="s">
        <v>618</v>
      </c>
      <c r="G29" t="str">
        <f t="shared" si="1"/>
        <v>biodiversity</v>
      </c>
      <c r="H29" t="s">
        <v>618</v>
      </c>
      <c r="L29" t="s">
        <v>618</v>
      </c>
    </row>
    <row r="30" spans="1:12">
      <c r="A30" t="s">
        <v>653</v>
      </c>
      <c r="B30" t="str">
        <f t="shared" si="0"/>
        <v>balance</v>
      </c>
      <c r="F30" s="65" t="s">
        <v>618</v>
      </c>
      <c r="G30" t="str">
        <f t="shared" si="1"/>
        <v>biodiversity</v>
      </c>
      <c r="H30" t="s">
        <v>618</v>
      </c>
      <c r="L30" t="s">
        <v>618</v>
      </c>
    </row>
    <row r="31" spans="1:12">
      <c r="A31" t="s">
        <v>1556</v>
      </c>
      <c r="B31" t="str">
        <f t="shared" si="0"/>
        <v>balance </v>
      </c>
      <c r="F31" s="64" t="s">
        <v>636</v>
      </c>
      <c r="G31" t="str">
        <f t="shared" si="1"/>
        <v>biological</v>
      </c>
      <c r="H31" t="s">
        <v>636</v>
      </c>
      <c r="L31" t="s">
        <v>636</v>
      </c>
    </row>
    <row r="32" spans="1:12">
      <c r="A32" t="s">
        <v>548</v>
      </c>
      <c r="B32" t="str">
        <f t="shared" si="0"/>
        <v>balanced diet</v>
      </c>
      <c r="F32" s="64" t="s">
        <v>1808</v>
      </c>
      <c r="G32" t="str">
        <f t="shared" si="1"/>
        <v>biological food web composition</v>
      </c>
      <c r="H32" t="s">
        <v>1808</v>
      </c>
      <c r="L32" t="s">
        <v>1808</v>
      </c>
    </row>
    <row r="33" spans="1:12">
      <c r="A33" t="s">
        <v>548</v>
      </c>
      <c r="B33" t="str">
        <f t="shared" si="0"/>
        <v>balanced diet</v>
      </c>
      <c r="F33" s="64" t="s">
        <v>1809</v>
      </c>
      <c r="G33" t="str">
        <f t="shared" si="1"/>
        <v>biological pest control</v>
      </c>
      <c r="H33" t="s">
        <v>1809</v>
      </c>
      <c r="L33" t="s">
        <v>1809</v>
      </c>
    </row>
    <row r="34" spans="1:12">
      <c r="A34" t="s">
        <v>1539</v>
      </c>
      <c r="B34" t="str">
        <f t="shared" si="0"/>
        <v>balanced diet </v>
      </c>
      <c r="F34" s="64" t="s">
        <v>1809</v>
      </c>
      <c r="G34" t="str">
        <f t="shared" si="1"/>
        <v>biological pest control</v>
      </c>
      <c r="H34" t="s">
        <v>1809</v>
      </c>
      <c r="L34" t="s">
        <v>1809</v>
      </c>
    </row>
    <row r="35" spans="1:12">
      <c r="A35" s="35" t="s">
        <v>1633</v>
      </c>
      <c r="B35" t="str">
        <f t="shared" si="0"/>
        <v>band</v>
      </c>
      <c r="F35" s="64" t="s">
        <v>1810</v>
      </c>
      <c r="G35" t="str">
        <f t="shared" si="1"/>
        <v>biological pesticides</v>
      </c>
      <c r="H35" t="s">
        <v>1810</v>
      </c>
      <c r="L35" t="s">
        <v>1810</v>
      </c>
    </row>
    <row r="36" spans="1:12">
      <c r="A36" s="55" t="s">
        <v>1360</v>
      </c>
      <c r="B36" t="str">
        <f t="shared" si="0"/>
        <v>band </v>
      </c>
      <c r="F36" s="64" t="s">
        <v>1569</v>
      </c>
      <c r="G36" t="str">
        <f t="shared" si="1"/>
        <v>biological</v>
      </c>
      <c r="H36" t="s">
        <v>1569</v>
      </c>
      <c r="L36" t="s">
        <v>636</v>
      </c>
    </row>
    <row r="37" spans="1:12">
      <c r="A37" t="s">
        <v>482</v>
      </c>
      <c r="B37" t="str">
        <f t="shared" si="0"/>
        <v>base saturation</v>
      </c>
      <c r="F37" s="64" t="s">
        <v>575</v>
      </c>
      <c r="G37" t="str">
        <f t="shared" si="1"/>
        <v>biomass</v>
      </c>
      <c r="H37" t="s">
        <v>575</v>
      </c>
      <c r="L37" t="s">
        <v>575</v>
      </c>
    </row>
    <row r="38" spans="1:12">
      <c r="A38" s="35" t="s">
        <v>601</v>
      </c>
      <c r="B38" t="str">
        <f t="shared" si="0"/>
        <v>biochar</v>
      </c>
      <c r="F38" s="65" t="s">
        <v>575</v>
      </c>
      <c r="G38" t="str">
        <f t="shared" si="1"/>
        <v>biomass</v>
      </c>
      <c r="H38" t="s">
        <v>575</v>
      </c>
      <c r="L38" t="s">
        <v>575</v>
      </c>
    </row>
    <row r="39" spans="1:12">
      <c r="A39" t="s">
        <v>601</v>
      </c>
      <c r="B39" t="str">
        <f t="shared" si="0"/>
        <v>biochar</v>
      </c>
      <c r="F39" s="64" t="s">
        <v>1811</v>
      </c>
      <c r="G39" t="str">
        <f t="shared" si="1"/>
        <v>bottom-up</v>
      </c>
      <c r="H39" t="s">
        <v>1811</v>
      </c>
      <c r="L39" t="s">
        <v>2033</v>
      </c>
    </row>
    <row r="40" spans="1:12">
      <c r="A40" s="55" t="s">
        <v>1340</v>
      </c>
      <c r="B40" t="str">
        <f t="shared" si="0"/>
        <v>biochar </v>
      </c>
      <c r="F40" s="64" t="s">
        <v>1647</v>
      </c>
      <c r="G40" t="str">
        <f t="shared" si="1"/>
        <v>boundary planting</v>
      </c>
      <c r="H40" t="s">
        <v>1647</v>
      </c>
      <c r="L40" t="s">
        <v>1647</v>
      </c>
    </row>
    <row r="41" spans="1:12" ht="16.8">
      <c r="A41" s="2" t="s">
        <v>618</v>
      </c>
      <c r="B41" t="str">
        <f t="shared" si="0"/>
        <v>biodiversity</v>
      </c>
      <c r="F41" s="65" t="s">
        <v>1812</v>
      </c>
      <c r="G41" t="str">
        <f t="shared" si="1"/>
        <v>boundary planting</v>
      </c>
      <c r="H41" t="s">
        <v>1812</v>
      </c>
      <c r="L41" t="s">
        <v>1647</v>
      </c>
    </row>
    <row r="42" spans="1:12">
      <c r="A42" s="35" t="s">
        <v>618</v>
      </c>
      <c r="B42" t="str">
        <f t="shared" si="0"/>
        <v>biodiversity</v>
      </c>
      <c r="F42" s="64" t="s">
        <v>1813</v>
      </c>
      <c r="G42" t="str">
        <f t="shared" si="1"/>
        <v>branding</v>
      </c>
      <c r="H42" t="s">
        <v>1813</v>
      </c>
      <c r="L42" t="s">
        <v>2034</v>
      </c>
    </row>
    <row r="43" spans="1:12">
      <c r="A43" s="35" t="s">
        <v>293</v>
      </c>
      <c r="B43" t="str">
        <f t="shared" si="0"/>
        <v>biodiversity</v>
      </c>
      <c r="F43" s="64" t="s">
        <v>561</v>
      </c>
      <c r="G43" t="str">
        <f t="shared" si="1"/>
        <v>broad</v>
      </c>
      <c r="H43" t="s">
        <v>561</v>
      </c>
      <c r="L43" t="s">
        <v>561</v>
      </c>
    </row>
    <row r="44" spans="1:12">
      <c r="A44" t="s">
        <v>1283</v>
      </c>
      <c r="B44" t="str">
        <f t="shared" si="0"/>
        <v>biodiversity </v>
      </c>
      <c r="F44" s="64" t="s">
        <v>561</v>
      </c>
      <c r="G44" t="str">
        <f t="shared" si="1"/>
        <v>broad</v>
      </c>
      <c r="H44" t="s">
        <v>561</v>
      </c>
      <c r="L44" t="s">
        <v>561</v>
      </c>
    </row>
    <row r="45" spans="1:12">
      <c r="A45" s="55" t="s">
        <v>1283</v>
      </c>
      <c r="B45" t="str">
        <f t="shared" si="0"/>
        <v>biodiversity </v>
      </c>
      <c r="F45" s="64" t="s">
        <v>1814</v>
      </c>
      <c r="G45" t="str">
        <f t="shared" si="1"/>
        <v>bulk density</v>
      </c>
      <c r="H45" t="s">
        <v>1814</v>
      </c>
      <c r="L45" t="s">
        <v>1814</v>
      </c>
    </row>
    <row r="46" spans="1:12">
      <c r="A46" t="s">
        <v>636</v>
      </c>
      <c r="B46" t="str">
        <f t="shared" si="0"/>
        <v>biological</v>
      </c>
      <c r="F46" s="64" t="s">
        <v>1815</v>
      </c>
      <c r="G46" t="str">
        <f t="shared" si="1"/>
        <v>business</v>
      </c>
      <c r="H46" t="s">
        <v>1815</v>
      </c>
      <c r="L46" t="s">
        <v>2035</v>
      </c>
    </row>
    <row r="47" spans="1:12">
      <c r="A47" t="s">
        <v>636</v>
      </c>
      <c r="B47" t="str">
        <f t="shared" si="0"/>
        <v>biological</v>
      </c>
      <c r="F47" s="64" t="s">
        <v>1816</v>
      </c>
      <c r="G47" t="str">
        <f t="shared" si="1"/>
        <v>calcium</v>
      </c>
      <c r="H47" t="s">
        <v>1816</v>
      </c>
      <c r="L47" t="s">
        <v>1816</v>
      </c>
    </row>
    <row r="48" spans="1:12">
      <c r="A48" t="s">
        <v>490</v>
      </c>
      <c r="B48" t="str">
        <f t="shared" si="0"/>
        <v>biological food web composition</v>
      </c>
      <c r="F48" s="64" t="s">
        <v>1817</v>
      </c>
      <c r="G48" t="str">
        <f t="shared" si="1"/>
        <v>carbon and nitrogen mineralization</v>
      </c>
      <c r="H48" t="s">
        <v>1817</v>
      </c>
      <c r="L48" t="s">
        <v>1817</v>
      </c>
    </row>
    <row r="49" spans="1:12">
      <c r="A49" t="s">
        <v>1427</v>
      </c>
      <c r="B49" t="str">
        <f t="shared" si="0"/>
        <v>biological pest control</v>
      </c>
      <c r="F49" s="64" t="s">
        <v>1818</v>
      </c>
      <c r="G49" t="str">
        <f t="shared" si="1"/>
        <v>carbon stock</v>
      </c>
      <c r="H49" t="s">
        <v>1818</v>
      </c>
      <c r="L49" t="s">
        <v>1818</v>
      </c>
    </row>
    <row r="50" spans="1:12">
      <c r="A50" t="s">
        <v>1242</v>
      </c>
      <c r="B50" t="str">
        <f t="shared" si="0"/>
        <v>biological pest control </v>
      </c>
      <c r="F50" s="64" t="s">
        <v>1819</v>
      </c>
      <c r="G50" t="str">
        <f t="shared" si="1"/>
        <v>carbon stock</v>
      </c>
      <c r="H50" t="s">
        <v>1819</v>
      </c>
      <c r="L50" t="s">
        <v>1818</v>
      </c>
    </row>
    <row r="51" spans="1:12">
      <c r="A51" t="s">
        <v>1242</v>
      </c>
      <c r="B51" t="str">
        <f t="shared" si="0"/>
        <v>biological pest control </v>
      </c>
      <c r="F51" s="64" t="s">
        <v>1689</v>
      </c>
      <c r="G51" t="str">
        <f t="shared" si="1"/>
        <v>care</v>
      </c>
      <c r="H51" t="s">
        <v>1689</v>
      </c>
      <c r="L51" t="s">
        <v>1689</v>
      </c>
    </row>
    <row r="52" spans="1:12">
      <c r="A52" t="s">
        <v>1784</v>
      </c>
      <c r="B52" t="str">
        <f t="shared" si="0"/>
        <v>biological pesticides</v>
      </c>
      <c r="F52" s="64" t="s">
        <v>649</v>
      </c>
      <c r="G52" t="str">
        <f t="shared" si="1"/>
        <v>carrying capacity</v>
      </c>
      <c r="H52" t="s">
        <v>649</v>
      </c>
      <c r="L52" t="s">
        <v>649</v>
      </c>
    </row>
    <row r="53" spans="1:12">
      <c r="A53" t="s">
        <v>1590</v>
      </c>
      <c r="B53" t="str">
        <f t="shared" si="0"/>
        <v>biological pesticides </v>
      </c>
      <c r="F53" s="64" t="s">
        <v>1552</v>
      </c>
      <c r="G53" t="str">
        <f t="shared" si="1"/>
        <v>carrying capacity</v>
      </c>
      <c r="H53" t="s">
        <v>1552</v>
      </c>
      <c r="L53" t="s">
        <v>649</v>
      </c>
    </row>
    <row r="54" spans="1:12">
      <c r="A54" t="s">
        <v>1569</v>
      </c>
      <c r="B54" t="str">
        <f t="shared" si="0"/>
        <v>biological </v>
      </c>
      <c r="F54" s="64" t="s">
        <v>1673</v>
      </c>
      <c r="G54" t="str">
        <f t="shared" si="1"/>
        <v>caste</v>
      </c>
      <c r="H54" t="s">
        <v>1673</v>
      </c>
      <c r="L54" t="s">
        <v>1673</v>
      </c>
    </row>
    <row r="55" spans="1:12">
      <c r="A55" t="s">
        <v>575</v>
      </c>
      <c r="B55" t="str">
        <f t="shared" si="0"/>
        <v>biomass</v>
      </c>
      <c r="F55" s="64" t="s">
        <v>1820</v>
      </c>
      <c r="G55" t="str">
        <f t="shared" si="1"/>
        <v>cation exchange capacity (cec)</v>
      </c>
      <c r="H55" t="s">
        <v>1820</v>
      </c>
      <c r="L55" t="s">
        <v>1820</v>
      </c>
    </row>
    <row r="56" spans="1:12">
      <c r="A56" t="s">
        <v>575</v>
      </c>
      <c r="B56" t="str">
        <f t="shared" si="0"/>
        <v>biomass</v>
      </c>
      <c r="F56" s="64" t="s">
        <v>1821</v>
      </c>
      <c r="G56" t="str">
        <f t="shared" si="1"/>
        <v>cellulose decomposition rate</v>
      </c>
      <c r="H56" t="s">
        <v>1821</v>
      </c>
      <c r="L56" t="s">
        <v>1821</v>
      </c>
    </row>
    <row r="57" spans="1:12">
      <c r="A57" s="55" t="s">
        <v>1327</v>
      </c>
      <c r="B57" t="str">
        <f t="shared" si="0"/>
        <v>biomass </v>
      </c>
      <c r="F57" s="64" t="s">
        <v>1822</v>
      </c>
      <c r="G57" t="str">
        <f t="shared" si="1"/>
        <v>certificate of origin</v>
      </c>
      <c r="H57" t="s">
        <v>1822</v>
      </c>
      <c r="L57" t="s">
        <v>2036</v>
      </c>
    </row>
    <row r="58" spans="1:12">
      <c r="A58" t="s">
        <v>1767</v>
      </c>
      <c r="B58" t="str">
        <f t="shared" si="0"/>
        <v>bottom-up </v>
      </c>
      <c r="F58" s="64" t="s">
        <v>1823</v>
      </c>
      <c r="G58" t="str">
        <f t="shared" si="1"/>
        <v>certification</v>
      </c>
      <c r="H58" t="s">
        <v>1823</v>
      </c>
      <c r="L58" t="s">
        <v>2037</v>
      </c>
    </row>
    <row r="59" spans="1:12">
      <c r="A59" t="s">
        <v>1647</v>
      </c>
      <c r="B59" t="str">
        <f t="shared" si="0"/>
        <v>boundary planting</v>
      </c>
      <c r="F59" s="64" t="s">
        <v>1824</v>
      </c>
      <c r="G59" t="str">
        <f t="shared" si="1"/>
        <v>charcoal production</v>
      </c>
      <c r="H59" t="s">
        <v>1824</v>
      </c>
      <c r="L59" t="s">
        <v>2038</v>
      </c>
    </row>
    <row r="60" spans="1:12">
      <c r="A60" s="55" t="s">
        <v>1284</v>
      </c>
      <c r="B60" t="str">
        <f t="shared" si="0"/>
        <v>boundary planting </v>
      </c>
      <c r="F60" s="64" t="s">
        <v>626</v>
      </c>
      <c r="G60" t="str">
        <f t="shared" si="1"/>
        <v>circular</v>
      </c>
      <c r="H60" t="s">
        <v>626</v>
      </c>
      <c r="L60" t="s">
        <v>626</v>
      </c>
    </row>
    <row r="61" spans="1:12">
      <c r="A61" t="s">
        <v>1724</v>
      </c>
      <c r="B61" t="str">
        <f t="shared" si="0"/>
        <v>branding </v>
      </c>
      <c r="F61" s="64" t="s">
        <v>1378</v>
      </c>
      <c r="G61" t="str">
        <f t="shared" si="1"/>
        <v>circular</v>
      </c>
      <c r="H61" t="s">
        <v>1378</v>
      </c>
      <c r="L61" t="s">
        <v>626</v>
      </c>
    </row>
    <row r="62" spans="1:12">
      <c r="A62" t="s">
        <v>561</v>
      </c>
      <c r="B62" t="str">
        <f t="shared" si="0"/>
        <v>broad</v>
      </c>
      <c r="F62" s="64" t="s">
        <v>1825</v>
      </c>
      <c r="G62" t="str">
        <f t="shared" si="1"/>
        <v>climate mitigation</v>
      </c>
      <c r="H62" t="s">
        <v>1825</v>
      </c>
      <c r="L62" t="s">
        <v>1825</v>
      </c>
    </row>
    <row r="63" spans="1:12">
      <c r="A63" t="s">
        <v>1517</v>
      </c>
      <c r="B63" t="str">
        <f t="shared" si="0"/>
        <v>broad </v>
      </c>
      <c r="F63" s="64" t="s">
        <v>1826</v>
      </c>
      <c r="G63" t="str">
        <f t="shared" si="1"/>
        <v>climate mitigation</v>
      </c>
      <c r="H63" t="s">
        <v>1826</v>
      </c>
      <c r="L63" t="s">
        <v>1825</v>
      </c>
    </row>
    <row r="64" spans="1:12">
      <c r="A64" t="s">
        <v>441</v>
      </c>
      <c r="B64" t="str">
        <f t="shared" si="0"/>
        <v>bulk density</v>
      </c>
      <c r="F64" s="64" t="s">
        <v>1469</v>
      </c>
      <c r="G64" t="str">
        <f t="shared" si="1"/>
        <v>co-creat</v>
      </c>
      <c r="H64" t="s">
        <v>1469</v>
      </c>
      <c r="L64" t="s">
        <v>1469</v>
      </c>
    </row>
    <row r="65" spans="1:12">
      <c r="A65" t="s">
        <v>1725</v>
      </c>
      <c r="B65" t="str">
        <f t="shared" si="0"/>
        <v>business </v>
      </c>
      <c r="F65" s="71" t="s">
        <v>656</v>
      </c>
      <c r="G65" t="str">
        <f t="shared" si="1"/>
        <v>co-creation</v>
      </c>
      <c r="H65" t="s">
        <v>656</v>
      </c>
      <c r="L65" t="s">
        <v>656</v>
      </c>
    </row>
    <row r="66" spans="1:12">
      <c r="A66" t="s">
        <v>458</v>
      </c>
      <c r="B66" t="str">
        <f t="shared" ref="B66:B129" si="2">LOWER(A66)</f>
        <v>calcium</v>
      </c>
      <c r="F66" s="64" t="s">
        <v>1444</v>
      </c>
      <c r="G66" t="str">
        <f t="shared" ref="G66:G129" si="3">TRIM(SUBSTITUTE(F66,CHAR(160)," "))</f>
        <v>co-creation</v>
      </c>
      <c r="H66" t="s">
        <v>1444</v>
      </c>
      <c r="L66" t="s">
        <v>656</v>
      </c>
    </row>
    <row r="67" spans="1:12">
      <c r="A67" t="s">
        <v>487</v>
      </c>
      <c r="B67" t="str">
        <f t="shared" si="2"/>
        <v>carbon and nitrogen mineralization</v>
      </c>
      <c r="F67" s="64" t="s">
        <v>1827</v>
      </c>
      <c r="G67" t="str">
        <f t="shared" si="3"/>
        <v>cold storage</v>
      </c>
      <c r="H67" t="s">
        <v>1827</v>
      </c>
      <c r="L67" t="s">
        <v>2039</v>
      </c>
    </row>
    <row r="68" spans="1:12">
      <c r="A68" t="s">
        <v>1430</v>
      </c>
      <c r="B68" t="str">
        <f t="shared" si="2"/>
        <v>carbon stock</v>
      </c>
      <c r="F68" s="64" t="s">
        <v>1695</v>
      </c>
      <c r="G68" t="str">
        <f t="shared" si="3"/>
        <v>collaborat</v>
      </c>
      <c r="H68" t="s">
        <v>1695</v>
      </c>
      <c r="L68" t="s">
        <v>1695</v>
      </c>
    </row>
    <row r="69" spans="1:12">
      <c r="A69" t="s">
        <v>1410</v>
      </c>
      <c r="B69" t="str">
        <f t="shared" si="2"/>
        <v>carbon stock </v>
      </c>
      <c r="F69" s="64" t="s">
        <v>525</v>
      </c>
      <c r="G69" t="str">
        <f t="shared" si="3"/>
        <v>community group</v>
      </c>
      <c r="H69" t="s">
        <v>525</v>
      </c>
      <c r="L69" t="s">
        <v>525</v>
      </c>
    </row>
    <row r="70" spans="1:12">
      <c r="A70" t="s">
        <v>1689</v>
      </c>
      <c r="B70" t="str">
        <f t="shared" si="2"/>
        <v>care</v>
      </c>
      <c r="F70" s="64" t="s">
        <v>1259</v>
      </c>
      <c r="G70" t="str">
        <f t="shared" si="3"/>
        <v>community group</v>
      </c>
      <c r="H70" t="s">
        <v>1259</v>
      </c>
      <c r="L70" t="s">
        <v>525</v>
      </c>
    </row>
    <row r="71" spans="1:12">
      <c r="A71" t="s">
        <v>649</v>
      </c>
      <c r="B71" t="str">
        <f t="shared" si="2"/>
        <v>carrying capacity</v>
      </c>
      <c r="F71" s="64" t="s">
        <v>1703</v>
      </c>
      <c r="G71" t="str">
        <f t="shared" si="3"/>
        <v>community of practice</v>
      </c>
      <c r="H71" t="s">
        <v>1703</v>
      </c>
      <c r="L71" t="s">
        <v>1703</v>
      </c>
    </row>
    <row r="72" spans="1:12">
      <c r="A72" t="s">
        <v>649</v>
      </c>
      <c r="B72" t="str">
        <f t="shared" si="2"/>
        <v>carrying capacity</v>
      </c>
      <c r="F72" s="64" t="s">
        <v>1828</v>
      </c>
      <c r="G72" t="str">
        <f t="shared" si="3"/>
        <v>community of practice</v>
      </c>
      <c r="H72" t="s">
        <v>1828</v>
      </c>
      <c r="L72" t="s">
        <v>1703</v>
      </c>
    </row>
    <row r="73" spans="1:12">
      <c r="A73" t="s">
        <v>1552</v>
      </c>
      <c r="B73" t="str">
        <f t="shared" si="2"/>
        <v>carrying capacity </v>
      </c>
      <c r="F73" s="64" t="s">
        <v>569</v>
      </c>
      <c r="G73" t="str">
        <f t="shared" si="3"/>
        <v>community-based</v>
      </c>
      <c r="H73" t="s">
        <v>569</v>
      </c>
      <c r="L73" t="s">
        <v>569</v>
      </c>
    </row>
    <row r="74" spans="1:12">
      <c r="A74" t="s">
        <v>1673</v>
      </c>
      <c r="B74" t="str">
        <f t="shared" si="2"/>
        <v>caste</v>
      </c>
      <c r="F74" s="64" t="s">
        <v>1525</v>
      </c>
      <c r="G74" t="str">
        <f t="shared" si="3"/>
        <v>community-based</v>
      </c>
      <c r="H74" t="s">
        <v>1525</v>
      </c>
      <c r="L74" t="s">
        <v>569</v>
      </c>
    </row>
    <row r="75" spans="1:12">
      <c r="A75" t="s">
        <v>479</v>
      </c>
      <c r="B75" t="str">
        <f t="shared" si="2"/>
        <v>cation exchange capacity (cec)</v>
      </c>
      <c r="F75" s="64" t="s">
        <v>592</v>
      </c>
      <c r="G75" t="str">
        <f t="shared" si="3"/>
        <v>composting</v>
      </c>
      <c r="H75" t="s">
        <v>592</v>
      </c>
      <c r="L75" t="s">
        <v>592</v>
      </c>
    </row>
    <row r="76" spans="1:12">
      <c r="A76" t="s">
        <v>448</v>
      </c>
      <c r="B76" t="str">
        <f t="shared" si="2"/>
        <v>cellulose decomposition rate</v>
      </c>
      <c r="F76" s="65" t="s">
        <v>1341</v>
      </c>
      <c r="G76" t="str">
        <f t="shared" si="3"/>
        <v>composting</v>
      </c>
      <c r="H76" t="s">
        <v>1341</v>
      </c>
      <c r="L76" t="s">
        <v>592</v>
      </c>
    </row>
    <row r="77" spans="1:12">
      <c r="A77" t="s">
        <v>1726</v>
      </c>
      <c r="B77" t="str">
        <f t="shared" si="2"/>
        <v>certificate of origin </v>
      </c>
      <c r="F77" s="64" t="s">
        <v>526</v>
      </c>
      <c r="G77" t="str">
        <f t="shared" si="3"/>
        <v>connections</v>
      </c>
      <c r="H77" t="s">
        <v>526</v>
      </c>
      <c r="L77" t="s">
        <v>526</v>
      </c>
    </row>
    <row r="78" spans="1:12">
      <c r="A78" t="s">
        <v>1252</v>
      </c>
      <c r="B78" t="str">
        <f t="shared" si="2"/>
        <v>certification </v>
      </c>
      <c r="F78" s="64" t="s">
        <v>1260</v>
      </c>
      <c r="G78" t="str">
        <f t="shared" si="3"/>
        <v>connections</v>
      </c>
      <c r="H78" t="s">
        <v>1260</v>
      </c>
      <c r="L78" t="s">
        <v>526</v>
      </c>
    </row>
    <row r="79" spans="1:12">
      <c r="A79" t="s">
        <v>1237</v>
      </c>
      <c r="B79" t="str">
        <f t="shared" si="2"/>
        <v>charcoal production </v>
      </c>
      <c r="F79" s="66" t="s">
        <v>638</v>
      </c>
      <c r="G79" t="str">
        <f t="shared" si="3"/>
        <v>conservation</v>
      </c>
      <c r="H79" t="s">
        <v>638</v>
      </c>
      <c r="L79" t="s">
        <v>638</v>
      </c>
    </row>
    <row r="80" spans="1:12">
      <c r="A80" t="s">
        <v>626</v>
      </c>
      <c r="B80" t="str">
        <f t="shared" si="2"/>
        <v>circular</v>
      </c>
      <c r="F80" s="64" t="s">
        <v>638</v>
      </c>
      <c r="G80" t="str">
        <f t="shared" si="3"/>
        <v>conservation</v>
      </c>
      <c r="H80" t="s">
        <v>638</v>
      </c>
      <c r="L80" t="s">
        <v>638</v>
      </c>
    </row>
    <row r="81" spans="1:12">
      <c r="A81" t="s">
        <v>1378</v>
      </c>
      <c r="B81" t="str">
        <f t="shared" si="2"/>
        <v>circular </v>
      </c>
      <c r="F81" s="64" t="s">
        <v>1571</v>
      </c>
      <c r="G81" t="str">
        <f t="shared" si="3"/>
        <v>conservation</v>
      </c>
      <c r="H81" t="s">
        <v>1571</v>
      </c>
      <c r="L81" t="s">
        <v>638</v>
      </c>
    </row>
    <row r="82" spans="1:12">
      <c r="A82" t="s">
        <v>1429</v>
      </c>
      <c r="B82" t="str">
        <f t="shared" si="2"/>
        <v>climate mitigation</v>
      </c>
      <c r="F82" s="64" t="s">
        <v>1571</v>
      </c>
      <c r="G82" t="str">
        <f t="shared" si="3"/>
        <v>conservation</v>
      </c>
      <c r="H82" t="s">
        <v>1571</v>
      </c>
      <c r="L82" t="s">
        <v>638</v>
      </c>
    </row>
    <row r="83" spans="1:12">
      <c r="A83" t="s">
        <v>1409</v>
      </c>
      <c r="B83" t="str">
        <f t="shared" si="2"/>
        <v>climate mitigation </v>
      </c>
      <c r="F83" s="73" t="s">
        <v>655</v>
      </c>
      <c r="G83" t="str">
        <f t="shared" si="3"/>
        <v>consumers and producers</v>
      </c>
      <c r="H83" t="s">
        <v>655</v>
      </c>
      <c r="L83" t="s">
        <v>655</v>
      </c>
    </row>
    <row r="84" spans="1:12">
      <c r="A84" t="s">
        <v>1469</v>
      </c>
      <c r="B84" t="str">
        <f t="shared" si="2"/>
        <v>co-creat</v>
      </c>
      <c r="F84" s="64" t="s">
        <v>1254</v>
      </c>
      <c r="G84" t="str">
        <f t="shared" si="3"/>
        <v>consumers and producers</v>
      </c>
      <c r="H84" t="s">
        <v>1254</v>
      </c>
      <c r="L84" t="s">
        <v>655</v>
      </c>
    </row>
    <row r="85" spans="1:12" ht="16.8">
      <c r="A85" s="15" t="s">
        <v>656</v>
      </c>
      <c r="B85" t="str">
        <f t="shared" si="2"/>
        <v>co-creation</v>
      </c>
      <c r="F85" s="64" t="s">
        <v>675</v>
      </c>
      <c r="G85" t="str">
        <f t="shared" si="3"/>
        <v>context</v>
      </c>
      <c r="H85" t="s">
        <v>675</v>
      </c>
      <c r="L85" t="s">
        <v>675</v>
      </c>
    </row>
    <row r="86" spans="1:12">
      <c r="A86" t="s">
        <v>1444</v>
      </c>
      <c r="B86" t="str">
        <f t="shared" si="2"/>
        <v>co-creation </v>
      </c>
      <c r="F86" s="64" t="s">
        <v>1711</v>
      </c>
      <c r="G86" t="str">
        <f t="shared" si="3"/>
        <v>contextual</v>
      </c>
      <c r="H86" t="s">
        <v>1711</v>
      </c>
      <c r="L86" t="s">
        <v>1711</v>
      </c>
    </row>
    <row r="87" spans="1:12">
      <c r="A87" t="s">
        <v>1241</v>
      </c>
      <c r="B87" t="str">
        <f t="shared" si="2"/>
        <v>cold storage </v>
      </c>
      <c r="F87" s="64" t="s">
        <v>1634</v>
      </c>
      <c r="G87" t="str">
        <f t="shared" si="3"/>
        <v>contour planting</v>
      </c>
      <c r="H87" t="s">
        <v>1634</v>
      </c>
      <c r="L87" t="s">
        <v>1634</v>
      </c>
    </row>
    <row r="88" spans="1:12">
      <c r="A88" t="s">
        <v>1695</v>
      </c>
      <c r="B88" t="str">
        <f t="shared" si="2"/>
        <v>collaborat</v>
      </c>
      <c r="F88" s="65" t="s">
        <v>1829</v>
      </c>
      <c r="G88" t="str">
        <f t="shared" si="3"/>
        <v>contour planting</v>
      </c>
      <c r="H88" t="s">
        <v>1829</v>
      </c>
      <c r="L88" t="s">
        <v>1634</v>
      </c>
    </row>
    <row r="89" spans="1:12">
      <c r="A89" t="s">
        <v>525</v>
      </c>
      <c r="B89" t="str">
        <f t="shared" si="2"/>
        <v>community group</v>
      </c>
      <c r="F89" s="64" t="s">
        <v>1830</v>
      </c>
      <c r="G89" t="str">
        <f t="shared" si="3"/>
        <v>cooperative</v>
      </c>
      <c r="H89" t="s">
        <v>1830</v>
      </c>
      <c r="L89" t="s">
        <v>2040</v>
      </c>
    </row>
    <row r="90" spans="1:12">
      <c r="A90" t="s">
        <v>1259</v>
      </c>
      <c r="B90" t="str">
        <f t="shared" si="2"/>
        <v>community group </v>
      </c>
      <c r="F90" s="64" t="s">
        <v>523</v>
      </c>
      <c r="G90" t="str">
        <f t="shared" si="3"/>
        <v>cooperatives</v>
      </c>
      <c r="H90" t="s">
        <v>523</v>
      </c>
      <c r="L90" t="s">
        <v>523</v>
      </c>
    </row>
    <row r="91" spans="1:12">
      <c r="A91" t="s">
        <v>1703</v>
      </c>
      <c r="B91" t="str">
        <f t="shared" si="2"/>
        <v>community of practice</v>
      </c>
      <c r="F91" s="64" t="s">
        <v>1257</v>
      </c>
      <c r="G91" t="str">
        <f t="shared" si="3"/>
        <v>cooperatives</v>
      </c>
      <c r="H91" t="s">
        <v>1257</v>
      </c>
      <c r="L91" t="s">
        <v>523</v>
      </c>
    </row>
    <row r="92" spans="1:12">
      <c r="A92" t="s">
        <v>1768</v>
      </c>
      <c r="B92" t="str">
        <f t="shared" si="2"/>
        <v>community of practice </v>
      </c>
      <c r="F92" s="64" t="s">
        <v>1831</v>
      </c>
      <c r="G92" t="str">
        <f t="shared" si="3"/>
        <v>copper</v>
      </c>
      <c r="H92" t="s">
        <v>1831</v>
      </c>
      <c r="L92" t="s">
        <v>1831</v>
      </c>
    </row>
    <row r="93" spans="1:12">
      <c r="A93" t="s">
        <v>569</v>
      </c>
      <c r="B93" t="str">
        <f t="shared" si="2"/>
        <v>community-based</v>
      </c>
      <c r="F93" s="64" t="s">
        <v>1635</v>
      </c>
      <c r="G93" t="str">
        <f t="shared" si="3"/>
        <v>cover crop</v>
      </c>
      <c r="H93" t="s">
        <v>1635</v>
      </c>
      <c r="L93" t="s">
        <v>1635</v>
      </c>
    </row>
    <row r="94" spans="1:12">
      <c r="A94" t="s">
        <v>1525</v>
      </c>
      <c r="B94" t="str">
        <f t="shared" si="2"/>
        <v>community-based </v>
      </c>
      <c r="F94" s="65" t="s">
        <v>1359</v>
      </c>
      <c r="G94" t="str">
        <f t="shared" si="3"/>
        <v>cover crop</v>
      </c>
      <c r="H94" t="s">
        <v>1359</v>
      </c>
      <c r="L94" t="s">
        <v>1635</v>
      </c>
    </row>
    <row r="95" spans="1:12">
      <c r="A95" t="s">
        <v>592</v>
      </c>
      <c r="B95" t="str">
        <f t="shared" si="2"/>
        <v>composting</v>
      </c>
      <c r="F95" s="64" t="s">
        <v>600</v>
      </c>
      <c r="G95" t="str">
        <f t="shared" si="3"/>
        <v>cover crops</v>
      </c>
      <c r="H95" t="s">
        <v>600</v>
      </c>
      <c r="L95" t="s">
        <v>600</v>
      </c>
    </row>
    <row r="96" spans="1:12">
      <c r="A96" t="s">
        <v>592</v>
      </c>
      <c r="B96" t="str">
        <f t="shared" si="2"/>
        <v>composting</v>
      </c>
      <c r="F96" s="64" t="s">
        <v>1832</v>
      </c>
      <c r="G96" t="str">
        <f t="shared" si="3"/>
        <v>cover crops</v>
      </c>
      <c r="H96" t="s">
        <v>1832</v>
      </c>
      <c r="L96" t="s">
        <v>600</v>
      </c>
    </row>
    <row r="97" spans="1:12">
      <c r="A97" s="55" t="s">
        <v>1341</v>
      </c>
      <c r="B97" t="str">
        <f t="shared" si="2"/>
        <v>composting </v>
      </c>
      <c r="F97" s="64" t="s">
        <v>1833</v>
      </c>
      <c r="G97" t="str">
        <f t="shared" si="3"/>
        <v>credit</v>
      </c>
      <c r="H97" t="s">
        <v>1833</v>
      </c>
      <c r="L97" t="s">
        <v>2041</v>
      </c>
    </row>
    <row r="98" spans="1:12">
      <c r="A98" t="s">
        <v>526</v>
      </c>
      <c r="B98" t="str">
        <f t="shared" si="2"/>
        <v>connections</v>
      </c>
      <c r="F98" s="64" t="s">
        <v>604</v>
      </c>
      <c r="G98" t="str">
        <f t="shared" si="3"/>
        <v>crop diversity</v>
      </c>
      <c r="H98" t="s">
        <v>604</v>
      </c>
      <c r="L98" t="s">
        <v>604</v>
      </c>
    </row>
    <row r="99" spans="1:12">
      <c r="A99" t="s">
        <v>1260</v>
      </c>
      <c r="B99" t="str">
        <f t="shared" si="2"/>
        <v>connections </v>
      </c>
      <c r="F99" s="64" t="s">
        <v>604</v>
      </c>
      <c r="G99" t="str">
        <f t="shared" si="3"/>
        <v>crop diversity</v>
      </c>
      <c r="H99" t="s">
        <v>604</v>
      </c>
      <c r="L99" t="s">
        <v>604</v>
      </c>
    </row>
    <row r="100" spans="1:12">
      <c r="A100" s="35" t="s">
        <v>638</v>
      </c>
      <c r="B100" t="str">
        <f t="shared" si="2"/>
        <v>conservation</v>
      </c>
      <c r="F100" s="65" t="s">
        <v>1285</v>
      </c>
      <c r="G100" t="str">
        <f t="shared" si="3"/>
        <v>crop diversity</v>
      </c>
      <c r="H100" t="s">
        <v>1285</v>
      </c>
      <c r="L100" t="s">
        <v>604</v>
      </c>
    </row>
    <row r="101" spans="1:12">
      <c r="A101" t="s">
        <v>638</v>
      </c>
      <c r="B101" t="str">
        <f t="shared" si="2"/>
        <v>conservation</v>
      </c>
      <c r="F101" s="64" t="s">
        <v>1834</v>
      </c>
      <c r="G101" t="str">
        <f t="shared" si="3"/>
        <v>crop income</v>
      </c>
      <c r="H101" t="s">
        <v>1834</v>
      </c>
      <c r="L101" t="s">
        <v>2042</v>
      </c>
    </row>
    <row r="102" spans="1:12">
      <c r="A102" t="s">
        <v>638</v>
      </c>
      <c r="B102" t="str">
        <f t="shared" si="2"/>
        <v>conservation</v>
      </c>
      <c r="F102" s="64" t="s">
        <v>1656</v>
      </c>
      <c r="G102" t="str">
        <f t="shared" si="3"/>
        <v>crop residue</v>
      </c>
      <c r="H102" t="s">
        <v>1656</v>
      </c>
      <c r="L102" t="s">
        <v>1656</v>
      </c>
    </row>
    <row r="103" spans="1:12">
      <c r="A103" t="s">
        <v>1571</v>
      </c>
      <c r="B103" t="str">
        <f t="shared" si="2"/>
        <v>conservation </v>
      </c>
      <c r="F103" s="65" t="s">
        <v>1342</v>
      </c>
      <c r="G103" t="str">
        <f t="shared" si="3"/>
        <v>crop residue</v>
      </c>
      <c r="H103" t="s">
        <v>1342</v>
      </c>
      <c r="L103" t="s">
        <v>1656</v>
      </c>
    </row>
    <row r="104" spans="1:12">
      <c r="A104" t="s">
        <v>1752</v>
      </c>
      <c r="B104" t="str">
        <f t="shared" si="2"/>
        <v>conservation </v>
      </c>
      <c r="F104" s="64" t="s">
        <v>602</v>
      </c>
      <c r="G104" t="str">
        <f t="shared" si="3"/>
        <v>crop residues</v>
      </c>
      <c r="H104" t="s">
        <v>602</v>
      </c>
      <c r="L104" t="s">
        <v>602</v>
      </c>
    </row>
    <row r="105" spans="1:12" ht="16.8">
      <c r="A105" s="2" t="s">
        <v>655</v>
      </c>
      <c r="B105" t="str">
        <f t="shared" si="2"/>
        <v>consumers and producers</v>
      </c>
      <c r="F105" s="64" t="s">
        <v>1648</v>
      </c>
      <c r="G105" t="str">
        <f t="shared" si="3"/>
        <v>crop rotation</v>
      </c>
      <c r="H105" t="s">
        <v>1648</v>
      </c>
      <c r="L105" t="s">
        <v>1648</v>
      </c>
    </row>
    <row r="106" spans="1:12">
      <c r="A106" t="s">
        <v>1254</v>
      </c>
      <c r="B106" t="str">
        <f t="shared" si="2"/>
        <v>consumers and producers </v>
      </c>
      <c r="F106" s="65" t="s">
        <v>1835</v>
      </c>
      <c r="G106" t="str">
        <f t="shared" si="3"/>
        <v>crop rotation</v>
      </c>
      <c r="H106" t="s">
        <v>1835</v>
      </c>
      <c r="L106" t="s">
        <v>1648</v>
      </c>
    </row>
    <row r="107" spans="1:12">
      <c r="A107" t="s">
        <v>675</v>
      </c>
      <c r="B107" t="str">
        <f t="shared" si="2"/>
        <v>context</v>
      </c>
      <c r="F107" s="64" t="s">
        <v>1836</v>
      </c>
      <c r="G107" t="str">
        <f t="shared" si="3"/>
        <v>crop-livestock</v>
      </c>
      <c r="H107" t="s">
        <v>1836</v>
      </c>
      <c r="L107" t="s">
        <v>1836</v>
      </c>
    </row>
    <row r="108" spans="1:12">
      <c r="A108" t="s">
        <v>1711</v>
      </c>
      <c r="B108" t="str">
        <f t="shared" si="2"/>
        <v>contextual</v>
      </c>
      <c r="F108" s="64" t="s">
        <v>1837</v>
      </c>
      <c r="G108" t="str">
        <f t="shared" si="3"/>
        <v>crop-livestock</v>
      </c>
      <c r="H108" t="s">
        <v>1837</v>
      </c>
      <c r="L108" t="s">
        <v>1836</v>
      </c>
    </row>
    <row r="109" spans="1:12">
      <c r="A109" t="s">
        <v>1634</v>
      </c>
      <c r="B109" t="str">
        <f t="shared" si="2"/>
        <v>contour planting</v>
      </c>
      <c r="F109" s="64" t="s">
        <v>623</v>
      </c>
      <c r="G109" t="str">
        <f t="shared" si="3"/>
        <v>cropping</v>
      </c>
      <c r="H109" t="s">
        <v>623</v>
      </c>
      <c r="L109" t="s">
        <v>623</v>
      </c>
    </row>
    <row r="110" spans="1:12">
      <c r="A110" s="55" t="s">
        <v>1753</v>
      </c>
      <c r="B110" t="str">
        <f t="shared" si="2"/>
        <v>contour planting </v>
      </c>
      <c r="F110" s="64" t="s">
        <v>1375</v>
      </c>
      <c r="G110" t="str">
        <f t="shared" si="3"/>
        <v>cropping</v>
      </c>
      <c r="H110" t="s">
        <v>1375</v>
      </c>
      <c r="L110" t="s">
        <v>623</v>
      </c>
    </row>
    <row r="111" spans="1:12">
      <c r="A111" t="s">
        <v>1249</v>
      </c>
      <c r="B111" t="str">
        <f t="shared" si="2"/>
        <v>cooperative </v>
      </c>
      <c r="F111" s="64" t="s">
        <v>538</v>
      </c>
      <c r="G111" t="str">
        <f t="shared" si="3"/>
        <v>cultural foods</v>
      </c>
      <c r="H111" t="s">
        <v>538</v>
      </c>
      <c r="L111" t="s">
        <v>538</v>
      </c>
    </row>
    <row r="112" spans="1:12">
      <c r="A112" t="s">
        <v>523</v>
      </c>
      <c r="B112" t="str">
        <f t="shared" si="2"/>
        <v>cooperatives</v>
      </c>
      <c r="F112" s="64" t="s">
        <v>538</v>
      </c>
      <c r="G112" t="str">
        <f t="shared" si="3"/>
        <v>cultural foods</v>
      </c>
      <c r="H112" t="s">
        <v>538</v>
      </c>
      <c r="L112" t="s">
        <v>538</v>
      </c>
    </row>
    <row r="113" spans="1:12">
      <c r="A113" t="s">
        <v>1257</v>
      </c>
      <c r="B113" t="str">
        <f t="shared" si="2"/>
        <v>cooperatives </v>
      </c>
      <c r="F113" s="64" t="s">
        <v>1529</v>
      </c>
      <c r="G113" t="str">
        <f t="shared" si="3"/>
        <v>cultural foods</v>
      </c>
      <c r="H113" t="s">
        <v>1529</v>
      </c>
      <c r="L113" t="s">
        <v>538</v>
      </c>
    </row>
    <row r="114" spans="1:12">
      <c r="A114" t="s">
        <v>463</v>
      </c>
      <c r="B114" t="str">
        <f t="shared" si="2"/>
        <v>copper</v>
      </c>
      <c r="F114" s="64" t="s">
        <v>544</v>
      </c>
      <c r="G114" t="str">
        <f t="shared" si="3"/>
        <v>culturally</v>
      </c>
      <c r="H114" t="s">
        <v>544</v>
      </c>
      <c r="L114" t="s">
        <v>544</v>
      </c>
    </row>
    <row r="115" spans="1:12">
      <c r="A115" t="s">
        <v>1635</v>
      </c>
      <c r="B115" t="str">
        <f t="shared" si="2"/>
        <v>cover crop</v>
      </c>
      <c r="F115" s="64" t="s">
        <v>1535</v>
      </c>
      <c r="G115" t="str">
        <f t="shared" si="3"/>
        <v>culturally</v>
      </c>
      <c r="H115" t="s">
        <v>1535</v>
      </c>
      <c r="L115" t="s">
        <v>544</v>
      </c>
    </row>
    <row r="116" spans="1:12">
      <c r="A116" s="55" t="s">
        <v>1359</v>
      </c>
      <c r="B116" t="str">
        <f t="shared" si="2"/>
        <v>cover crop </v>
      </c>
      <c r="F116" s="64" t="s">
        <v>543</v>
      </c>
      <c r="G116" t="str">
        <f t="shared" si="3"/>
        <v>customs</v>
      </c>
      <c r="H116" t="s">
        <v>543</v>
      </c>
      <c r="L116" t="s">
        <v>543</v>
      </c>
    </row>
    <row r="117" spans="1:12">
      <c r="A117" t="s">
        <v>1419</v>
      </c>
      <c r="B117" t="str">
        <f t="shared" si="2"/>
        <v>cover crops</v>
      </c>
      <c r="F117" s="64" t="s">
        <v>1534</v>
      </c>
      <c r="G117" t="str">
        <f t="shared" si="3"/>
        <v>customs</v>
      </c>
      <c r="H117" t="s">
        <v>1534</v>
      </c>
      <c r="L117" t="s">
        <v>543</v>
      </c>
    </row>
    <row r="118" spans="1:12">
      <c r="A118" t="s">
        <v>600</v>
      </c>
      <c r="B118" t="str">
        <f t="shared" si="2"/>
        <v>cover crops</v>
      </c>
      <c r="F118" s="64" t="s">
        <v>1838</v>
      </c>
      <c r="G118" t="str">
        <f t="shared" si="3"/>
        <v>cuttings</v>
      </c>
      <c r="H118" t="s">
        <v>1838</v>
      </c>
      <c r="L118" t="s">
        <v>1838</v>
      </c>
    </row>
    <row r="119" spans="1:12">
      <c r="A119" t="s">
        <v>1584</v>
      </c>
      <c r="B119" t="str">
        <f t="shared" si="2"/>
        <v>cover crops </v>
      </c>
      <c r="F119" s="64" t="s">
        <v>1839</v>
      </c>
      <c r="G119" t="str">
        <f t="shared" si="3"/>
        <v>cuttings</v>
      </c>
      <c r="H119" t="s">
        <v>1839</v>
      </c>
      <c r="L119" t="s">
        <v>1838</v>
      </c>
    </row>
    <row r="120" spans="1:12">
      <c r="A120" t="s">
        <v>1243</v>
      </c>
      <c r="B120" t="str">
        <f t="shared" si="2"/>
        <v>credit </v>
      </c>
      <c r="F120" s="64" t="s">
        <v>572</v>
      </c>
      <c r="G120" t="str">
        <f t="shared" si="3"/>
        <v>cycles</v>
      </c>
      <c r="H120" t="s">
        <v>572</v>
      </c>
      <c r="L120" t="s">
        <v>572</v>
      </c>
    </row>
    <row r="121" spans="1:12">
      <c r="A121" t="s">
        <v>604</v>
      </c>
      <c r="B121" t="str">
        <f t="shared" si="2"/>
        <v>crop diversity</v>
      </c>
      <c r="F121" s="64" t="s">
        <v>1323</v>
      </c>
      <c r="G121" t="str">
        <f t="shared" si="3"/>
        <v>cycles</v>
      </c>
      <c r="H121" t="s">
        <v>1323</v>
      </c>
      <c r="L121" t="s">
        <v>572</v>
      </c>
    </row>
    <row r="122" spans="1:12">
      <c r="A122" t="s">
        <v>604</v>
      </c>
      <c r="B122" t="str">
        <f t="shared" si="2"/>
        <v>crop diversity</v>
      </c>
      <c r="F122" s="64" t="s">
        <v>573</v>
      </c>
      <c r="G122" t="str">
        <f t="shared" si="3"/>
        <v>cycling</v>
      </c>
      <c r="H122" t="s">
        <v>573</v>
      </c>
      <c r="L122" t="s">
        <v>573</v>
      </c>
    </row>
    <row r="123" spans="1:12">
      <c r="A123" s="55" t="s">
        <v>1285</v>
      </c>
      <c r="B123" t="str">
        <f t="shared" si="2"/>
        <v>crop diversity </v>
      </c>
      <c r="F123" s="64" t="s">
        <v>1324</v>
      </c>
      <c r="G123" t="str">
        <f t="shared" si="3"/>
        <v>cycling</v>
      </c>
      <c r="H123" t="s">
        <v>1324</v>
      </c>
      <c r="L123" t="s">
        <v>573</v>
      </c>
    </row>
    <row r="124" spans="1:12">
      <c r="A124" t="s">
        <v>1727</v>
      </c>
      <c r="B124" t="str">
        <f t="shared" si="2"/>
        <v>crop income </v>
      </c>
      <c r="F124" s="64" t="s">
        <v>507</v>
      </c>
      <c r="G124" t="str">
        <f t="shared" si="3"/>
        <v>decent jobs</v>
      </c>
      <c r="H124" t="s">
        <v>507</v>
      </c>
      <c r="L124" t="s">
        <v>507</v>
      </c>
    </row>
    <row r="125" spans="1:12">
      <c r="A125" t="s">
        <v>1656</v>
      </c>
      <c r="B125" t="str">
        <f t="shared" si="2"/>
        <v>crop residue</v>
      </c>
      <c r="F125" s="64" t="s">
        <v>507</v>
      </c>
      <c r="G125" t="str">
        <f t="shared" si="3"/>
        <v>decent jobs</v>
      </c>
      <c r="H125" t="s">
        <v>507</v>
      </c>
      <c r="L125" t="s">
        <v>507</v>
      </c>
    </row>
    <row r="126" spans="1:12">
      <c r="A126" s="55" t="s">
        <v>1342</v>
      </c>
      <c r="B126" t="str">
        <f t="shared" si="2"/>
        <v>crop residue </v>
      </c>
      <c r="F126" s="64" t="s">
        <v>1186</v>
      </c>
      <c r="G126" t="str">
        <f t="shared" si="3"/>
        <v>decent jobs</v>
      </c>
      <c r="H126" t="s">
        <v>1186</v>
      </c>
      <c r="L126" t="s">
        <v>507</v>
      </c>
    </row>
    <row r="127" spans="1:12">
      <c r="A127" t="s">
        <v>602</v>
      </c>
      <c r="B127" t="str">
        <f t="shared" si="2"/>
        <v>crop residues</v>
      </c>
      <c r="F127" s="64" t="s">
        <v>1186</v>
      </c>
      <c r="G127" t="str">
        <f t="shared" si="3"/>
        <v>decent jobs</v>
      </c>
      <c r="H127" t="s">
        <v>1186</v>
      </c>
      <c r="L127" t="s">
        <v>507</v>
      </c>
    </row>
    <row r="128" spans="1:12">
      <c r="A128" t="s">
        <v>1648</v>
      </c>
      <c r="B128" t="str">
        <f t="shared" si="2"/>
        <v>crop rotation</v>
      </c>
      <c r="F128" s="64" t="s">
        <v>566</v>
      </c>
      <c r="G128" t="str">
        <f t="shared" si="3"/>
        <v>decision-making</v>
      </c>
      <c r="H128" t="s">
        <v>566</v>
      </c>
      <c r="L128" t="s">
        <v>566</v>
      </c>
    </row>
    <row r="129" spans="1:12">
      <c r="A129" s="55" t="s">
        <v>1286</v>
      </c>
      <c r="B129" t="str">
        <f t="shared" si="2"/>
        <v>crop rotation </v>
      </c>
      <c r="F129" s="64" t="s">
        <v>1522</v>
      </c>
      <c r="G129" t="str">
        <f t="shared" si="3"/>
        <v>decision-making</v>
      </c>
      <c r="H129" t="s">
        <v>1522</v>
      </c>
      <c r="L129" t="s">
        <v>566</v>
      </c>
    </row>
    <row r="130" spans="1:12">
      <c r="A130" t="s">
        <v>1425</v>
      </c>
      <c r="B130" t="str">
        <f t="shared" ref="B130:B193" si="4">LOWER(A130)</f>
        <v>crop-livestock</v>
      </c>
      <c r="F130" s="64" t="s">
        <v>1522</v>
      </c>
      <c r="G130" t="str">
        <f t="shared" ref="G130:G193" si="5">TRIM(SUBSTITUTE(F130,CHAR(160)," "))</f>
        <v>decision-making</v>
      </c>
      <c r="H130" t="s">
        <v>1522</v>
      </c>
      <c r="L130" t="s">
        <v>566</v>
      </c>
    </row>
    <row r="131" spans="1:12">
      <c r="A131" t="s">
        <v>1394</v>
      </c>
      <c r="B131" t="str">
        <f t="shared" si="4"/>
        <v>crop-livestock </v>
      </c>
      <c r="F131" s="64" t="s">
        <v>1840</v>
      </c>
      <c r="G131" t="str">
        <f t="shared" si="5"/>
        <v>dialogues</v>
      </c>
      <c r="H131" t="s">
        <v>1840</v>
      </c>
      <c r="L131" t="s">
        <v>2043</v>
      </c>
    </row>
    <row r="132" spans="1:12">
      <c r="A132" t="s">
        <v>623</v>
      </c>
      <c r="B132" t="str">
        <f t="shared" si="4"/>
        <v>cropping</v>
      </c>
      <c r="F132" s="64" t="s">
        <v>537</v>
      </c>
      <c r="G132" t="str">
        <f t="shared" si="5"/>
        <v>diets</v>
      </c>
      <c r="H132" t="s">
        <v>537</v>
      </c>
      <c r="L132" t="s">
        <v>537</v>
      </c>
    </row>
    <row r="133" spans="1:12">
      <c r="A133" t="s">
        <v>623</v>
      </c>
      <c r="B133" t="str">
        <f t="shared" si="4"/>
        <v>cropping</v>
      </c>
      <c r="F133" s="64" t="s">
        <v>1528</v>
      </c>
      <c r="G133" t="str">
        <f t="shared" si="5"/>
        <v>diets</v>
      </c>
      <c r="H133" t="s">
        <v>1528</v>
      </c>
      <c r="L133" t="s">
        <v>537</v>
      </c>
    </row>
    <row r="134" spans="1:12">
      <c r="A134" t="s">
        <v>1375</v>
      </c>
      <c r="B134" t="str">
        <f t="shared" si="4"/>
        <v>cropping </v>
      </c>
      <c r="F134" s="64" t="s">
        <v>1686</v>
      </c>
      <c r="G134" t="str">
        <f t="shared" si="5"/>
        <v>digin</v>
      </c>
      <c r="H134" t="s">
        <v>1686</v>
      </c>
      <c r="L134" t="s">
        <v>1686</v>
      </c>
    </row>
    <row r="135" spans="1:12">
      <c r="A135" t="s">
        <v>538</v>
      </c>
      <c r="B135" t="str">
        <f t="shared" si="4"/>
        <v>cultural foods</v>
      </c>
      <c r="F135" s="64" t="s">
        <v>535</v>
      </c>
      <c r="G135" t="str">
        <f t="shared" si="5"/>
        <v>dissemination</v>
      </c>
      <c r="H135" t="s">
        <v>535</v>
      </c>
      <c r="L135" t="s">
        <v>535</v>
      </c>
    </row>
    <row r="136" spans="1:12">
      <c r="A136" t="s">
        <v>538</v>
      </c>
      <c r="B136" t="str">
        <f t="shared" si="4"/>
        <v>cultural foods</v>
      </c>
      <c r="F136" s="64" t="s">
        <v>1454</v>
      </c>
      <c r="G136" t="str">
        <f t="shared" si="5"/>
        <v>dissemination</v>
      </c>
      <c r="H136" t="s">
        <v>1454</v>
      </c>
      <c r="L136" t="s">
        <v>535</v>
      </c>
    </row>
    <row r="137" spans="1:12">
      <c r="A137" t="s">
        <v>1529</v>
      </c>
      <c r="B137" t="str">
        <f t="shared" si="4"/>
        <v>cultural foods </v>
      </c>
      <c r="F137" s="64" t="s">
        <v>562</v>
      </c>
      <c r="G137" t="str">
        <f t="shared" si="5"/>
        <v>diverse</v>
      </c>
      <c r="H137" t="s">
        <v>562</v>
      </c>
      <c r="L137" t="s">
        <v>562</v>
      </c>
    </row>
    <row r="138" spans="1:12">
      <c r="A138" t="s">
        <v>544</v>
      </c>
      <c r="B138" t="str">
        <f t="shared" si="4"/>
        <v>culturally</v>
      </c>
      <c r="F138" s="64" t="s">
        <v>1518</v>
      </c>
      <c r="G138" t="str">
        <f t="shared" si="5"/>
        <v>diverse</v>
      </c>
      <c r="H138" t="s">
        <v>1518</v>
      </c>
      <c r="L138" t="s">
        <v>562</v>
      </c>
    </row>
    <row r="139" spans="1:12">
      <c r="A139" t="s">
        <v>544</v>
      </c>
      <c r="B139" t="str">
        <f t="shared" si="4"/>
        <v>culturally</v>
      </c>
      <c r="F139" s="64" t="s">
        <v>617</v>
      </c>
      <c r="G139" t="str">
        <f t="shared" si="5"/>
        <v>diversification</v>
      </c>
      <c r="H139" t="s">
        <v>617</v>
      </c>
      <c r="L139" t="s">
        <v>617</v>
      </c>
    </row>
    <row r="140" spans="1:12">
      <c r="A140" t="s">
        <v>1535</v>
      </c>
      <c r="B140" t="str">
        <f t="shared" si="4"/>
        <v>culturally </v>
      </c>
      <c r="F140" s="64" t="s">
        <v>1370</v>
      </c>
      <c r="G140" t="str">
        <f t="shared" si="5"/>
        <v>diversification</v>
      </c>
      <c r="H140" t="s">
        <v>1370</v>
      </c>
      <c r="L140" t="s">
        <v>617</v>
      </c>
    </row>
    <row r="141" spans="1:12">
      <c r="A141" t="s">
        <v>543</v>
      </c>
      <c r="B141" t="str">
        <f t="shared" si="4"/>
        <v>customs</v>
      </c>
      <c r="F141" s="66" t="s">
        <v>1637</v>
      </c>
      <c r="G141" t="str">
        <f t="shared" si="5"/>
        <v>diversified</v>
      </c>
      <c r="H141" t="s">
        <v>1637</v>
      </c>
      <c r="L141" t="s">
        <v>1637</v>
      </c>
    </row>
    <row r="142" spans="1:12">
      <c r="A142" t="s">
        <v>543</v>
      </c>
      <c r="B142" t="str">
        <f t="shared" si="4"/>
        <v>customs</v>
      </c>
      <c r="F142" s="66" t="s">
        <v>1615</v>
      </c>
      <c r="G142" t="str">
        <f t="shared" si="5"/>
        <v>diversified diets</v>
      </c>
      <c r="H142" t="s">
        <v>1615</v>
      </c>
      <c r="L142" t="s">
        <v>1615</v>
      </c>
    </row>
    <row r="143" spans="1:12">
      <c r="A143" t="s">
        <v>1534</v>
      </c>
      <c r="B143" t="str">
        <f t="shared" si="4"/>
        <v>customs </v>
      </c>
      <c r="F143" s="64" t="s">
        <v>1841</v>
      </c>
      <c r="G143" t="str">
        <f t="shared" si="5"/>
        <v>diversified diets</v>
      </c>
      <c r="H143" t="s">
        <v>1841</v>
      </c>
      <c r="L143" t="s">
        <v>1615</v>
      </c>
    </row>
    <row r="144" spans="1:12">
      <c r="A144" t="s">
        <v>1785</v>
      </c>
      <c r="B144" t="str">
        <f t="shared" si="4"/>
        <v>cuttings</v>
      </c>
      <c r="F144" s="65" t="s">
        <v>1754</v>
      </c>
      <c r="G144" t="str">
        <f t="shared" si="5"/>
        <v>diversified</v>
      </c>
      <c r="H144" t="s">
        <v>1754</v>
      </c>
      <c r="L144" t="s">
        <v>1637</v>
      </c>
    </row>
    <row r="145" spans="1:12">
      <c r="A145" t="s">
        <v>1587</v>
      </c>
      <c r="B145" t="str">
        <f t="shared" si="4"/>
        <v>cuttings </v>
      </c>
      <c r="F145" s="64" t="s">
        <v>603</v>
      </c>
      <c r="G145" t="str">
        <f t="shared" si="5"/>
        <v>diversity</v>
      </c>
      <c r="H145" t="s">
        <v>603</v>
      </c>
      <c r="L145" t="s">
        <v>603</v>
      </c>
    </row>
    <row r="146" spans="1:12">
      <c r="A146" t="s">
        <v>572</v>
      </c>
      <c r="B146" t="str">
        <f t="shared" si="4"/>
        <v>cycles</v>
      </c>
      <c r="F146" s="64" t="s">
        <v>603</v>
      </c>
      <c r="G146" t="str">
        <f t="shared" si="5"/>
        <v>diversity</v>
      </c>
      <c r="H146" t="s">
        <v>603</v>
      </c>
      <c r="L146" t="s">
        <v>603</v>
      </c>
    </row>
    <row r="147" spans="1:12">
      <c r="A147" t="s">
        <v>572</v>
      </c>
      <c r="B147" t="str">
        <f t="shared" si="4"/>
        <v>cycles</v>
      </c>
      <c r="F147" s="65" t="s">
        <v>1287</v>
      </c>
      <c r="G147" t="str">
        <f t="shared" si="5"/>
        <v>diversity</v>
      </c>
      <c r="H147" t="s">
        <v>1287</v>
      </c>
      <c r="L147" t="s">
        <v>603</v>
      </c>
    </row>
    <row r="148" spans="1:12">
      <c r="A148" t="s">
        <v>1323</v>
      </c>
      <c r="B148" t="str">
        <f t="shared" si="4"/>
        <v>cycles </v>
      </c>
      <c r="F148" s="64" t="s">
        <v>1842</v>
      </c>
      <c r="G148" t="str">
        <f t="shared" si="5"/>
        <v>drip irrigation</v>
      </c>
      <c r="H148" t="s">
        <v>1842</v>
      </c>
      <c r="L148" t="s">
        <v>1842</v>
      </c>
    </row>
    <row r="149" spans="1:12">
      <c r="A149" t="s">
        <v>573</v>
      </c>
      <c r="B149" t="str">
        <f t="shared" si="4"/>
        <v>cycling</v>
      </c>
      <c r="F149" s="64" t="s">
        <v>1843</v>
      </c>
      <c r="G149" t="str">
        <f t="shared" si="5"/>
        <v>drip irrigation</v>
      </c>
      <c r="H149" t="s">
        <v>1843</v>
      </c>
      <c r="L149" t="s">
        <v>1842</v>
      </c>
    </row>
    <row r="150" spans="1:12">
      <c r="A150" t="s">
        <v>573</v>
      </c>
      <c r="B150" t="str">
        <f t="shared" si="4"/>
        <v>cycling</v>
      </c>
      <c r="F150" s="64" t="s">
        <v>1844</v>
      </c>
      <c r="G150" t="str">
        <f t="shared" si="5"/>
        <v>earnings</v>
      </c>
      <c r="H150" t="s">
        <v>1844</v>
      </c>
      <c r="L150" t="s">
        <v>2044</v>
      </c>
    </row>
    <row r="151" spans="1:12">
      <c r="A151" t="s">
        <v>1324</v>
      </c>
      <c r="B151" t="str">
        <f t="shared" si="4"/>
        <v>cycling </v>
      </c>
      <c r="F151" s="64" t="s">
        <v>1845</v>
      </c>
      <c r="G151" t="str">
        <f t="shared" si="5"/>
        <v>earthworms</v>
      </c>
      <c r="H151" t="s">
        <v>1845</v>
      </c>
      <c r="L151" t="s">
        <v>1845</v>
      </c>
    </row>
    <row r="152" spans="1:12">
      <c r="A152" t="s">
        <v>507</v>
      </c>
      <c r="B152" t="str">
        <f t="shared" si="4"/>
        <v>decent jobs</v>
      </c>
      <c r="F152" s="64" t="s">
        <v>616</v>
      </c>
      <c r="G152" t="str">
        <f t="shared" si="5"/>
        <v>ecological</v>
      </c>
      <c r="H152" t="s">
        <v>616</v>
      </c>
      <c r="L152" t="s">
        <v>616</v>
      </c>
    </row>
    <row r="153" spans="1:12">
      <c r="A153" t="s">
        <v>507</v>
      </c>
      <c r="B153" t="str">
        <f t="shared" si="4"/>
        <v>decent jobs</v>
      </c>
      <c r="F153" s="64" t="s">
        <v>1369</v>
      </c>
      <c r="G153" t="str">
        <f t="shared" si="5"/>
        <v>ecological</v>
      </c>
      <c r="H153" t="s">
        <v>1369</v>
      </c>
      <c r="L153" t="s">
        <v>616</v>
      </c>
    </row>
    <row r="154" spans="1:12">
      <c r="A154" t="s">
        <v>1186</v>
      </c>
      <c r="B154" t="str">
        <f t="shared" si="4"/>
        <v>decent jobs </v>
      </c>
      <c r="F154" s="76" t="s">
        <v>168</v>
      </c>
      <c r="G154" t="str">
        <f t="shared" si="5"/>
        <v>economic</v>
      </c>
      <c r="H154" t="s">
        <v>168</v>
      </c>
      <c r="L154" t="s">
        <v>168</v>
      </c>
    </row>
    <row r="155" spans="1:12">
      <c r="A155" t="s">
        <v>1186</v>
      </c>
      <c r="B155" t="str">
        <f t="shared" si="4"/>
        <v>decent jobs </v>
      </c>
      <c r="F155" s="64" t="s">
        <v>502</v>
      </c>
      <c r="G155" t="str">
        <f t="shared" si="5"/>
        <v>economic diversification</v>
      </c>
      <c r="H155" t="s">
        <v>502</v>
      </c>
      <c r="L155" t="s">
        <v>502</v>
      </c>
    </row>
    <row r="156" spans="1:12">
      <c r="A156" t="s">
        <v>566</v>
      </c>
      <c r="B156" t="str">
        <f t="shared" si="4"/>
        <v>decision-making</v>
      </c>
      <c r="F156" s="64" t="s">
        <v>1202</v>
      </c>
      <c r="G156" t="str">
        <f t="shared" si="5"/>
        <v>economic diversification</v>
      </c>
      <c r="H156" t="s">
        <v>1202</v>
      </c>
      <c r="L156" t="s">
        <v>502</v>
      </c>
    </row>
    <row r="157" spans="1:12">
      <c r="A157" t="s">
        <v>566</v>
      </c>
      <c r="B157" t="str">
        <f t="shared" si="4"/>
        <v>decision-making</v>
      </c>
      <c r="F157" s="64" t="s">
        <v>1180</v>
      </c>
      <c r="G157" t="str">
        <f t="shared" si="5"/>
        <v>economic</v>
      </c>
      <c r="H157" t="s">
        <v>1180</v>
      </c>
      <c r="L157" t="s">
        <v>168</v>
      </c>
    </row>
    <row r="158" spans="1:12">
      <c r="A158" t="s">
        <v>1522</v>
      </c>
      <c r="B158" t="str">
        <f t="shared" si="4"/>
        <v>decision-making </v>
      </c>
      <c r="F158" s="64" t="s">
        <v>628</v>
      </c>
      <c r="G158" t="str">
        <f t="shared" si="5"/>
        <v>ecosystem</v>
      </c>
      <c r="H158" t="s">
        <v>628</v>
      </c>
      <c r="L158" t="s">
        <v>628</v>
      </c>
    </row>
    <row r="159" spans="1:12">
      <c r="A159" t="s">
        <v>1769</v>
      </c>
      <c r="B159" t="str">
        <f t="shared" si="4"/>
        <v>decision-making </v>
      </c>
      <c r="F159" s="64" t="s">
        <v>1380</v>
      </c>
      <c r="G159" t="str">
        <f t="shared" si="5"/>
        <v>ecosystem</v>
      </c>
      <c r="H159" t="s">
        <v>1380</v>
      </c>
      <c r="L159" t="s">
        <v>628</v>
      </c>
    </row>
    <row r="160" spans="1:12">
      <c r="A160" t="s">
        <v>1728</v>
      </c>
      <c r="B160" t="str">
        <f t="shared" si="4"/>
        <v>dialogues </v>
      </c>
      <c r="F160" s="64" t="s">
        <v>642</v>
      </c>
      <c r="G160" t="str">
        <f t="shared" si="5"/>
        <v>efficiency</v>
      </c>
      <c r="H160" t="s">
        <v>642</v>
      </c>
      <c r="L160" t="s">
        <v>642</v>
      </c>
    </row>
    <row r="161" spans="1:12">
      <c r="A161" t="s">
        <v>537</v>
      </c>
      <c r="B161" t="str">
        <f t="shared" si="4"/>
        <v>diets</v>
      </c>
      <c r="F161" s="64" t="s">
        <v>1575</v>
      </c>
      <c r="G161" t="str">
        <f t="shared" si="5"/>
        <v>efficiency</v>
      </c>
      <c r="H161" t="s">
        <v>1575</v>
      </c>
      <c r="L161" t="s">
        <v>642</v>
      </c>
    </row>
    <row r="162" spans="1:12">
      <c r="A162" s="35" t="s">
        <v>537</v>
      </c>
      <c r="B162" t="str">
        <f t="shared" si="4"/>
        <v>diets</v>
      </c>
      <c r="F162" s="64" t="s">
        <v>641</v>
      </c>
      <c r="G162" t="str">
        <f t="shared" si="5"/>
        <v>efficient</v>
      </c>
      <c r="H162" t="s">
        <v>641</v>
      </c>
      <c r="L162" t="s">
        <v>641</v>
      </c>
    </row>
    <row r="163" spans="1:12">
      <c r="A163" t="s">
        <v>1528</v>
      </c>
      <c r="B163" t="str">
        <f t="shared" si="4"/>
        <v>diets </v>
      </c>
      <c r="F163" s="64" t="s">
        <v>1574</v>
      </c>
      <c r="G163" t="str">
        <f t="shared" si="5"/>
        <v>efficient</v>
      </c>
      <c r="H163" t="s">
        <v>1574</v>
      </c>
      <c r="L163" t="s">
        <v>641</v>
      </c>
    </row>
    <row r="164" spans="1:12">
      <c r="A164" t="s">
        <v>1686</v>
      </c>
      <c r="B164" t="str">
        <f t="shared" si="4"/>
        <v>digin</v>
      </c>
      <c r="F164" s="64" t="s">
        <v>1846</v>
      </c>
      <c r="G164" t="str">
        <f t="shared" si="5"/>
        <v>electrical conductivity</v>
      </c>
      <c r="H164" t="s">
        <v>1846</v>
      </c>
      <c r="L164" t="s">
        <v>1846</v>
      </c>
    </row>
    <row r="165" spans="1:12">
      <c r="A165" t="s">
        <v>535</v>
      </c>
      <c r="B165" t="str">
        <f t="shared" si="4"/>
        <v>dissemination</v>
      </c>
      <c r="F165" s="64" t="s">
        <v>1847</v>
      </c>
      <c r="G165" t="str">
        <f t="shared" si="5"/>
        <v>emissions</v>
      </c>
      <c r="H165" t="s">
        <v>1847</v>
      </c>
      <c r="L165" t="s">
        <v>1847</v>
      </c>
    </row>
    <row r="166" spans="1:12">
      <c r="A166" t="s">
        <v>535</v>
      </c>
      <c r="B166" t="str">
        <f t="shared" si="4"/>
        <v>dissemination</v>
      </c>
      <c r="F166" s="64" t="s">
        <v>1848</v>
      </c>
      <c r="G166" t="str">
        <f t="shared" si="5"/>
        <v>emissions</v>
      </c>
      <c r="H166" t="s">
        <v>1848</v>
      </c>
      <c r="L166" t="s">
        <v>1847</v>
      </c>
    </row>
    <row r="167" spans="1:12">
      <c r="A167" t="s">
        <v>1454</v>
      </c>
      <c r="B167" t="str">
        <f t="shared" si="4"/>
        <v>dissemination </v>
      </c>
      <c r="F167" s="64" t="s">
        <v>512</v>
      </c>
      <c r="G167" t="str">
        <f t="shared" si="5"/>
        <v>employment</v>
      </c>
      <c r="H167" t="s">
        <v>512</v>
      </c>
      <c r="L167" t="s">
        <v>512</v>
      </c>
    </row>
    <row r="168" spans="1:12">
      <c r="A168" t="s">
        <v>562</v>
      </c>
      <c r="B168" t="str">
        <f t="shared" si="4"/>
        <v>diverse</v>
      </c>
      <c r="F168" s="64" t="s">
        <v>512</v>
      </c>
      <c r="G168" t="str">
        <f t="shared" si="5"/>
        <v>employment</v>
      </c>
      <c r="H168" t="s">
        <v>512</v>
      </c>
      <c r="L168" t="s">
        <v>512</v>
      </c>
    </row>
    <row r="169" spans="1:12">
      <c r="A169" t="s">
        <v>1518</v>
      </c>
      <c r="B169" t="str">
        <f t="shared" si="4"/>
        <v>diverse </v>
      </c>
      <c r="F169" s="64" t="s">
        <v>1191</v>
      </c>
      <c r="G169" t="str">
        <f t="shared" si="5"/>
        <v>employment</v>
      </c>
      <c r="H169" t="s">
        <v>1191</v>
      </c>
      <c r="L169" t="s">
        <v>512</v>
      </c>
    </row>
    <row r="170" spans="1:12">
      <c r="A170" t="s">
        <v>617</v>
      </c>
      <c r="B170" t="str">
        <f t="shared" si="4"/>
        <v>diversification</v>
      </c>
      <c r="F170" s="64" t="s">
        <v>1191</v>
      </c>
      <c r="G170" t="str">
        <f t="shared" si="5"/>
        <v>employment</v>
      </c>
      <c r="H170" t="s">
        <v>1191</v>
      </c>
      <c r="L170" t="s">
        <v>512</v>
      </c>
    </row>
    <row r="171" spans="1:12">
      <c r="A171" t="s">
        <v>1370</v>
      </c>
      <c r="B171" t="str">
        <f t="shared" si="4"/>
        <v>diversification </v>
      </c>
      <c r="F171" s="66" t="s">
        <v>1662</v>
      </c>
      <c r="G171" t="str">
        <f t="shared" si="5"/>
        <v>empower</v>
      </c>
      <c r="H171" t="s">
        <v>1662</v>
      </c>
      <c r="L171" t="s">
        <v>1662</v>
      </c>
    </row>
    <row r="172" spans="1:12">
      <c r="A172" s="35" t="s">
        <v>1637</v>
      </c>
      <c r="B172" t="str">
        <f t="shared" si="4"/>
        <v>diversified</v>
      </c>
      <c r="F172" s="64" t="s">
        <v>1849</v>
      </c>
      <c r="G172" t="str">
        <f t="shared" si="5"/>
        <v>empower</v>
      </c>
      <c r="H172" t="s">
        <v>1849</v>
      </c>
      <c r="L172" t="s">
        <v>1662</v>
      </c>
    </row>
    <row r="173" spans="1:12">
      <c r="A173" s="35" t="s">
        <v>1615</v>
      </c>
      <c r="B173" t="str">
        <f t="shared" si="4"/>
        <v>diversified diets</v>
      </c>
      <c r="F173" s="64" t="s">
        <v>504</v>
      </c>
      <c r="G173" t="str">
        <f t="shared" si="5"/>
        <v>equitable</v>
      </c>
      <c r="H173" t="s">
        <v>504</v>
      </c>
      <c r="L173" t="s">
        <v>504</v>
      </c>
    </row>
    <row r="174" spans="1:12">
      <c r="A174" t="s">
        <v>1314</v>
      </c>
      <c r="B174" t="str">
        <f t="shared" si="4"/>
        <v>diversified diets </v>
      </c>
      <c r="F174" s="64" t="s">
        <v>504</v>
      </c>
      <c r="G174" t="str">
        <f t="shared" si="5"/>
        <v>equitable</v>
      </c>
      <c r="H174" t="s">
        <v>504</v>
      </c>
      <c r="L174" t="s">
        <v>504</v>
      </c>
    </row>
    <row r="175" spans="1:12">
      <c r="A175" s="55" t="s">
        <v>1754</v>
      </c>
      <c r="B175" t="str">
        <f t="shared" si="4"/>
        <v>diversified </v>
      </c>
      <c r="F175" s="73" t="s">
        <v>504</v>
      </c>
      <c r="G175" t="str">
        <f t="shared" si="5"/>
        <v>equitable</v>
      </c>
      <c r="H175" t="s">
        <v>504</v>
      </c>
      <c r="L175" t="s">
        <v>504</v>
      </c>
    </row>
    <row r="176" spans="1:12">
      <c r="A176" t="s">
        <v>603</v>
      </c>
      <c r="B176" t="str">
        <f t="shared" si="4"/>
        <v>diversity</v>
      </c>
      <c r="F176" s="64" t="s">
        <v>1183</v>
      </c>
      <c r="G176" t="str">
        <f t="shared" si="5"/>
        <v>equitable</v>
      </c>
      <c r="H176" t="s">
        <v>1183</v>
      </c>
      <c r="L176" t="s">
        <v>504</v>
      </c>
    </row>
    <row r="177" spans="1:12">
      <c r="A177" t="s">
        <v>603</v>
      </c>
      <c r="B177" t="str">
        <f t="shared" si="4"/>
        <v>diversity</v>
      </c>
      <c r="F177" s="64" t="s">
        <v>1183</v>
      </c>
      <c r="G177" t="str">
        <f t="shared" si="5"/>
        <v>equitable</v>
      </c>
      <c r="H177" t="s">
        <v>1183</v>
      </c>
      <c r="L177" t="s">
        <v>504</v>
      </c>
    </row>
    <row r="178" spans="1:12">
      <c r="A178" s="55" t="s">
        <v>1287</v>
      </c>
      <c r="B178" t="str">
        <f t="shared" si="4"/>
        <v>diversity </v>
      </c>
      <c r="F178" s="64" t="s">
        <v>1183</v>
      </c>
      <c r="G178" t="str">
        <f t="shared" si="5"/>
        <v>equitable</v>
      </c>
      <c r="H178" t="s">
        <v>1183</v>
      </c>
      <c r="L178" t="s">
        <v>504</v>
      </c>
    </row>
    <row r="179" spans="1:12">
      <c r="A179" t="s">
        <v>1786</v>
      </c>
      <c r="B179" t="str">
        <f t="shared" si="4"/>
        <v>drip irrigation</v>
      </c>
      <c r="F179" s="64" t="s">
        <v>1680</v>
      </c>
      <c r="G179" t="str">
        <f t="shared" si="5"/>
        <v>equity</v>
      </c>
      <c r="H179" t="s">
        <v>1680</v>
      </c>
      <c r="L179" t="s">
        <v>1680</v>
      </c>
    </row>
    <row r="180" spans="1:12">
      <c r="A180" t="s">
        <v>1787</v>
      </c>
      <c r="B180" t="str">
        <f t="shared" si="4"/>
        <v>drip irrigation </v>
      </c>
      <c r="F180" s="64" t="s">
        <v>1850</v>
      </c>
      <c r="G180" t="str">
        <f t="shared" si="5"/>
        <v>erosion control</v>
      </c>
      <c r="H180" t="s">
        <v>1850</v>
      </c>
      <c r="L180" t="s">
        <v>1850</v>
      </c>
    </row>
    <row r="181" spans="1:12">
      <c r="A181" t="s">
        <v>1223</v>
      </c>
      <c r="B181" t="str">
        <f t="shared" si="4"/>
        <v>earnings </v>
      </c>
      <c r="F181" s="64" t="s">
        <v>1851</v>
      </c>
      <c r="G181" t="str">
        <f t="shared" si="5"/>
        <v>erosion control</v>
      </c>
      <c r="H181" t="s">
        <v>1851</v>
      </c>
      <c r="L181" t="s">
        <v>1850</v>
      </c>
    </row>
    <row r="182" spans="1:12">
      <c r="A182" t="s">
        <v>444</v>
      </c>
      <c r="B182" t="str">
        <f t="shared" si="4"/>
        <v>earthworms</v>
      </c>
      <c r="F182" s="64" t="s">
        <v>1852</v>
      </c>
      <c r="G182" t="str">
        <f t="shared" si="5"/>
        <v>erosion rating</v>
      </c>
      <c r="H182" t="s">
        <v>1852</v>
      </c>
      <c r="L182" t="s">
        <v>1852</v>
      </c>
    </row>
    <row r="183" spans="1:12">
      <c r="A183" t="s">
        <v>616</v>
      </c>
      <c r="B183" t="str">
        <f t="shared" si="4"/>
        <v>ecological</v>
      </c>
      <c r="F183" s="64" t="s">
        <v>1672</v>
      </c>
      <c r="G183" t="str">
        <f t="shared" si="5"/>
        <v>ethnic</v>
      </c>
      <c r="H183" t="s">
        <v>1672</v>
      </c>
      <c r="L183" t="s">
        <v>1672</v>
      </c>
    </row>
    <row r="184" spans="1:12">
      <c r="A184" t="s">
        <v>1369</v>
      </c>
      <c r="B184" t="str">
        <f t="shared" si="4"/>
        <v>ecological </v>
      </c>
      <c r="F184" s="64" t="s">
        <v>1853</v>
      </c>
      <c r="G184" t="str">
        <f t="shared" si="5"/>
        <v>evidence-based</v>
      </c>
      <c r="H184" t="s">
        <v>1853</v>
      </c>
      <c r="L184" t="s">
        <v>2045</v>
      </c>
    </row>
    <row r="185" spans="1:12" ht="16.8">
      <c r="A185" s="4" t="s">
        <v>168</v>
      </c>
      <c r="B185" t="str">
        <f t="shared" si="4"/>
        <v>economic</v>
      </c>
      <c r="F185" s="64" t="s">
        <v>1854</v>
      </c>
      <c r="G185" t="str">
        <f t="shared" si="5"/>
        <v>exchangeable acidity</v>
      </c>
      <c r="H185" t="s">
        <v>1854</v>
      </c>
      <c r="L185" t="s">
        <v>1854</v>
      </c>
    </row>
    <row r="186" spans="1:12">
      <c r="A186" t="s">
        <v>502</v>
      </c>
      <c r="B186" t="str">
        <f t="shared" si="4"/>
        <v>economic diversification</v>
      </c>
      <c r="F186" s="64" t="s">
        <v>554</v>
      </c>
      <c r="G186" t="str">
        <f t="shared" si="5"/>
        <v>fair price</v>
      </c>
      <c r="H186" t="s">
        <v>554</v>
      </c>
      <c r="L186" t="s">
        <v>554</v>
      </c>
    </row>
    <row r="187" spans="1:12">
      <c r="A187" t="s">
        <v>1202</v>
      </c>
      <c r="B187" t="str">
        <f t="shared" si="4"/>
        <v>economic diversification </v>
      </c>
      <c r="F187" s="64" t="s">
        <v>1509</v>
      </c>
      <c r="G187" t="str">
        <f t="shared" si="5"/>
        <v>fair price</v>
      </c>
      <c r="H187" t="s">
        <v>1509</v>
      </c>
      <c r="L187" t="s">
        <v>554</v>
      </c>
    </row>
    <row r="188" spans="1:12">
      <c r="A188" t="s">
        <v>1180</v>
      </c>
      <c r="B188" t="str">
        <f t="shared" si="4"/>
        <v>economic </v>
      </c>
      <c r="F188" s="64" t="s">
        <v>549</v>
      </c>
      <c r="G188" t="str">
        <f t="shared" si="5"/>
        <v>fair trade</v>
      </c>
      <c r="H188" t="s">
        <v>549</v>
      </c>
      <c r="L188" t="s">
        <v>549</v>
      </c>
    </row>
    <row r="189" spans="1:12">
      <c r="A189" t="s">
        <v>628</v>
      </c>
      <c r="B189" t="str">
        <f t="shared" si="4"/>
        <v>ecosystem</v>
      </c>
      <c r="F189" s="64" t="s">
        <v>1504</v>
      </c>
      <c r="G189" t="str">
        <f t="shared" si="5"/>
        <v>fair trade</v>
      </c>
      <c r="H189" t="s">
        <v>1504</v>
      </c>
      <c r="L189" t="s">
        <v>549</v>
      </c>
    </row>
    <row r="190" spans="1:12">
      <c r="A190" t="s">
        <v>628</v>
      </c>
      <c r="B190" t="str">
        <f t="shared" si="4"/>
        <v>ecosystem</v>
      </c>
      <c r="F190" s="73" t="s">
        <v>654</v>
      </c>
      <c r="G190" t="str">
        <f t="shared" si="5"/>
        <v>fairness</v>
      </c>
      <c r="H190" t="s">
        <v>654</v>
      </c>
      <c r="L190" t="s">
        <v>654</v>
      </c>
    </row>
    <row r="191" spans="1:12">
      <c r="A191" t="s">
        <v>1380</v>
      </c>
      <c r="B191" t="str">
        <f t="shared" si="4"/>
        <v>ecosystem </v>
      </c>
      <c r="F191" s="73" t="s">
        <v>654</v>
      </c>
      <c r="G191" t="str">
        <f t="shared" si="5"/>
        <v>fairness</v>
      </c>
      <c r="H191" t="s">
        <v>654</v>
      </c>
      <c r="L191" t="s">
        <v>654</v>
      </c>
    </row>
    <row r="192" spans="1:12">
      <c r="A192" t="s">
        <v>642</v>
      </c>
      <c r="B192" t="str">
        <f t="shared" si="4"/>
        <v>efficiency</v>
      </c>
      <c r="F192" s="64" t="s">
        <v>1182</v>
      </c>
      <c r="G192" t="str">
        <f t="shared" si="5"/>
        <v>fairness</v>
      </c>
      <c r="H192" t="s">
        <v>1182</v>
      </c>
      <c r="L192" t="s">
        <v>654</v>
      </c>
    </row>
    <row r="193" spans="1:12">
      <c r="A193" t="s">
        <v>642</v>
      </c>
      <c r="B193" t="str">
        <f t="shared" si="4"/>
        <v>efficiency</v>
      </c>
      <c r="F193" s="64" t="s">
        <v>1182</v>
      </c>
      <c r="G193" t="str">
        <f t="shared" si="5"/>
        <v>fairness</v>
      </c>
      <c r="H193" t="s">
        <v>1182</v>
      </c>
      <c r="L193" t="s">
        <v>654</v>
      </c>
    </row>
    <row r="194" spans="1:12">
      <c r="A194" t="s">
        <v>1575</v>
      </c>
      <c r="B194" t="str">
        <f t="shared" ref="B194:B257" si="6">LOWER(A194)</f>
        <v>efficiency </v>
      </c>
      <c r="F194" s="64" t="s">
        <v>1855</v>
      </c>
      <c r="G194" t="str">
        <f t="shared" ref="G194:G257" si="7">TRIM(SUBSTITUTE(F194,CHAR(160)," "))</f>
        <v>farm income</v>
      </c>
      <c r="H194" t="s">
        <v>1855</v>
      </c>
      <c r="L194" t="s">
        <v>2046</v>
      </c>
    </row>
    <row r="195" spans="1:12">
      <c r="A195" t="s">
        <v>641</v>
      </c>
      <c r="B195" t="str">
        <f t="shared" si="6"/>
        <v>efficient</v>
      </c>
      <c r="F195" s="64" t="s">
        <v>1704</v>
      </c>
      <c r="G195" t="str">
        <f t="shared" si="7"/>
        <v>farmer field school</v>
      </c>
      <c r="H195" t="s">
        <v>1704</v>
      </c>
      <c r="L195" t="s">
        <v>1704</v>
      </c>
    </row>
    <row r="196" spans="1:12">
      <c r="A196" t="s">
        <v>641</v>
      </c>
      <c r="B196" t="str">
        <f t="shared" si="6"/>
        <v>efficient</v>
      </c>
      <c r="F196" s="64" t="s">
        <v>1856</v>
      </c>
      <c r="G196" t="str">
        <f t="shared" si="7"/>
        <v>farmer field school</v>
      </c>
      <c r="H196" t="s">
        <v>1856</v>
      </c>
      <c r="L196" t="s">
        <v>1704</v>
      </c>
    </row>
    <row r="197" spans="1:12">
      <c r="A197" t="s">
        <v>1574</v>
      </c>
      <c r="B197" t="str">
        <f t="shared" si="6"/>
        <v>efficient </v>
      </c>
      <c r="F197" s="64" t="s">
        <v>1487</v>
      </c>
      <c r="G197" t="str">
        <f t="shared" si="7"/>
        <v>farmer group</v>
      </c>
      <c r="H197" t="s">
        <v>1487</v>
      </c>
      <c r="L197" t="s">
        <v>1487</v>
      </c>
    </row>
    <row r="198" spans="1:12">
      <c r="A198" t="s">
        <v>478</v>
      </c>
      <c r="B198" t="str">
        <f t="shared" si="6"/>
        <v>electrical conductivity</v>
      </c>
      <c r="F198" s="64" t="s">
        <v>1857</v>
      </c>
      <c r="G198" t="str">
        <f t="shared" si="7"/>
        <v>farmer group</v>
      </c>
      <c r="H198" t="s">
        <v>1857</v>
      </c>
      <c r="L198" t="s">
        <v>1487</v>
      </c>
    </row>
    <row r="199" spans="1:12">
      <c r="A199" t="s">
        <v>1432</v>
      </c>
      <c r="B199" t="str">
        <f t="shared" si="6"/>
        <v>emissions</v>
      </c>
      <c r="F199" s="64" t="s">
        <v>1699</v>
      </c>
      <c r="G199" t="str">
        <f t="shared" si="7"/>
        <v>farmer knowledge</v>
      </c>
      <c r="H199" t="s">
        <v>1699</v>
      </c>
      <c r="L199" t="s">
        <v>1699</v>
      </c>
    </row>
    <row r="200" spans="1:12">
      <c r="A200" t="s">
        <v>1412</v>
      </c>
      <c r="B200" t="str">
        <f t="shared" si="6"/>
        <v>emissions </v>
      </c>
      <c r="F200" s="64" t="s">
        <v>1858</v>
      </c>
      <c r="G200" t="str">
        <f t="shared" si="7"/>
        <v>farmer organization</v>
      </c>
      <c r="H200" t="s">
        <v>1858</v>
      </c>
      <c r="L200" t="s">
        <v>2047</v>
      </c>
    </row>
    <row r="201" spans="1:12">
      <c r="A201" t="s">
        <v>512</v>
      </c>
      <c r="B201" t="str">
        <f t="shared" si="6"/>
        <v>employment</v>
      </c>
      <c r="F201" s="64" t="s">
        <v>1858</v>
      </c>
      <c r="G201" t="str">
        <f t="shared" si="7"/>
        <v>farmer organization</v>
      </c>
      <c r="H201" t="s">
        <v>1858</v>
      </c>
      <c r="L201" t="s">
        <v>2047</v>
      </c>
    </row>
    <row r="202" spans="1:12">
      <c r="A202" t="s">
        <v>512</v>
      </c>
      <c r="B202" t="str">
        <f t="shared" si="6"/>
        <v>employment</v>
      </c>
      <c r="F202" s="64" t="s">
        <v>1692</v>
      </c>
      <c r="G202" t="str">
        <f t="shared" si="7"/>
        <v>farmer-centered</v>
      </c>
      <c r="H202" t="s">
        <v>1692</v>
      </c>
      <c r="L202" t="s">
        <v>1692</v>
      </c>
    </row>
    <row r="203" spans="1:12">
      <c r="A203" t="s">
        <v>512</v>
      </c>
      <c r="B203" t="str">
        <f t="shared" si="6"/>
        <v>employment</v>
      </c>
      <c r="F203" s="64" t="s">
        <v>1470</v>
      </c>
      <c r="G203" t="str">
        <f t="shared" si="7"/>
        <v>farmer-led</v>
      </c>
      <c r="H203" t="s">
        <v>1470</v>
      </c>
      <c r="L203" t="s">
        <v>1470</v>
      </c>
    </row>
    <row r="204" spans="1:12">
      <c r="A204" t="s">
        <v>1191</v>
      </c>
      <c r="B204" t="str">
        <f t="shared" si="6"/>
        <v>employment </v>
      </c>
      <c r="F204" s="64" t="s">
        <v>528</v>
      </c>
      <c r="G204" t="str">
        <f t="shared" si="7"/>
        <v>farmer-to-farmer</v>
      </c>
      <c r="H204" t="s">
        <v>528</v>
      </c>
      <c r="L204" t="s">
        <v>528</v>
      </c>
    </row>
    <row r="205" spans="1:12">
      <c r="A205" t="s">
        <v>1191</v>
      </c>
      <c r="B205" t="str">
        <f t="shared" si="6"/>
        <v>employment </v>
      </c>
      <c r="F205" s="64" t="s">
        <v>1446</v>
      </c>
      <c r="G205" t="str">
        <f t="shared" si="7"/>
        <v>farmer-to-farmer</v>
      </c>
      <c r="H205" t="s">
        <v>1446</v>
      </c>
      <c r="L205" t="s">
        <v>528</v>
      </c>
    </row>
    <row r="206" spans="1:12">
      <c r="A206" s="35" t="s">
        <v>1662</v>
      </c>
      <c r="B206" t="str">
        <f t="shared" si="6"/>
        <v>empower</v>
      </c>
      <c r="F206" s="64" t="s">
        <v>646</v>
      </c>
      <c r="G206" t="str">
        <f t="shared" si="7"/>
        <v>farm-saved</v>
      </c>
      <c r="H206" t="s">
        <v>646</v>
      </c>
      <c r="L206" t="s">
        <v>646</v>
      </c>
    </row>
    <row r="207" spans="1:12">
      <c r="A207" t="s">
        <v>1770</v>
      </c>
      <c r="B207" t="str">
        <f t="shared" si="6"/>
        <v>empower </v>
      </c>
      <c r="F207" s="64" t="s">
        <v>1579</v>
      </c>
      <c r="G207" t="str">
        <f t="shared" si="7"/>
        <v>farm-saved</v>
      </c>
      <c r="H207" t="s">
        <v>1579</v>
      </c>
      <c r="L207" t="s">
        <v>646</v>
      </c>
    </row>
    <row r="208" spans="1:12">
      <c r="A208" t="s">
        <v>504</v>
      </c>
      <c r="B208" t="str">
        <f t="shared" si="6"/>
        <v>equitable</v>
      </c>
      <c r="F208" s="64" t="s">
        <v>1773</v>
      </c>
      <c r="G208" t="str">
        <f t="shared" si="7"/>
        <v>femini</v>
      </c>
      <c r="H208" t="s">
        <v>1773</v>
      </c>
      <c r="L208" t="s">
        <v>1773</v>
      </c>
    </row>
    <row r="209" spans="1:12">
      <c r="A209" t="s">
        <v>504</v>
      </c>
      <c r="B209" t="str">
        <f t="shared" si="6"/>
        <v>equitable</v>
      </c>
      <c r="F209" s="64" t="s">
        <v>1859</v>
      </c>
      <c r="G209" t="str">
        <f t="shared" si="7"/>
        <v>field infiltration</v>
      </c>
      <c r="H209" t="s">
        <v>1859</v>
      </c>
      <c r="L209" t="s">
        <v>1859</v>
      </c>
    </row>
    <row r="210" spans="1:12" ht="16.8">
      <c r="A210" s="2" t="s">
        <v>504</v>
      </c>
      <c r="B210" t="str">
        <f t="shared" si="6"/>
        <v>equitable</v>
      </c>
      <c r="F210" s="64" t="s">
        <v>1705</v>
      </c>
      <c r="G210" t="str">
        <f t="shared" si="7"/>
        <v>field school</v>
      </c>
      <c r="H210" t="s">
        <v>1705</v>
      </c>
      <c r="L210" t="s">
        <v>1705</v>
      </c>
    </row>
    <row r="211" spans="1:12">
      <c r="A211" t="s">
        <v>504</v>
      </c>
      <c r="B211" t="str">
        <f t="shared" si="6"/>
        <v>equitable</v>
      </c>
      <c r="F211" s="64" t="s">
        <v>1860</v>
      </c>
      <c r="G211" t="str">
        <f t="shared" si="7"/>
        <v>field school</v>
      </c>
      <c r="H211" t="s">
        <v>1860</v>
      </c>
      <c r="L211" t="s">
        <v>1705</v>
      </c>
    </row>
    <row r="212" spans="1:12">
      <c r="A212" t="s">
        <v>1183</v>
      </c>
      <c r="B212" t="str">
        <f t="shared" si="6"/>
        <v>equitable </v>
      </c>
      <c r="F212" s="64" t="s">
        <v>1861</v>
      </c>
      <c r="G212" t="str">
        <f t="shared" si="7"/>
        <v>fish-duck-rice system</v>
      </c>
      <c r="H212" t="s">
        <v>1861</v>
      </c>
      <c r="L212" t="s">
        <v>1861</v>
      </c>
    </row>
    <row r="213" spans="1:12">
      <c r="A213" t="s">
        <v>1183</v>
      </c>
      <c r="B213" t="str">
        <f t="shared" si="6"/>
        <v>equitable </v>
      </c>
      <c r="F213" s="64" t="s">
        <v>1862</v>
      </c>
      <c r="G213" t="str">
        <f t="shared" si="7"/>
        <v>fish-duck-rice system</v>
      </c>
      <c r="H213" t="s">
        <v>1862</v>
      </c>
      <c r="L213" t="s">
        <v>1861</v>
      </c>
    </row>
    <row r="214" spans="1:12">
      <c r="A214" t="s">
        <v>1183</v>
      </c>
      <c r="B214" t="str">
        <f t="shared" si="6"/>
        <v>equitable </v>
      </c>
      <c r="F214" s="64" t="s">
        <v>1649</v>
      </c>
      <c r="G214" t="str">
        <f t="shared" si="7"/>
        <v>flower strips</v>
      </c>
      <c r="H214" t="s">
        <v>1649</v>
      </c>
      <c r="L214" t="s">
        <v>1649</v>
      </c>
    </row>
    <row r="215" spans="1:12">
      <c r="A215" t="s">
        <v>1680</v>
      </c>
      <c r="B215" t="str">
        <f t="shared" si="6"/>
        <v>equity</v>
      </c>
      <c r="F215" s="65" t="s">
        <v>1863</v>
      </c>
      <c r="G215" t="str">
        <f t="shared" si="7"/>
        <v>flower strips</v>
      </c>
      <c r="H215" t="s">
        <v>1863</v>
      </c>
      <c r="L215" t="s">
        <v>1649</v>
      </c>
    </row>
    <row r="216" spans="1:12">
      <c r="A216" t="s">
        <v>1414</v>
      </c>
      <c r="B216" t="str">
        <f t="shared" si="6"/>
        <v>erosion control</v>
      </c>
      <c r="F216" s="64" t="s">
        <v>521</v>
      </c>
      <c r="G216" t="str">
        <f t="shared" si="7"/>
        <v>food chain</v>
      </c>
      <c r="H216" t="s">
        <v>521</v>
      </c>
      <c r="L216" t="s">
        <v>521</v>
      </c>
    </row>
    <row r="217" spans="1:12">
      <c r="A217" t="s">
        <v>1407</v>
      </c>
      <c r="B217" t="str">
        <f t="shared" si="6"/>
        <v>erosion control </v>
      </c>
      <c r="F217" s="64" t="s">
        <v>1255</v>
      </c>
      <c r="G217" t="str">
        <f t="shared" si="7"/>
        <v>food chain</v>
      </c>
      <c r="H217" t="s">
        <v>1255</v>
      </c>
      <c r="L217" t="s">
        <v>521</v>
      </c>
    </row>
    <row r="218" spans="1:12">
      <c r="A218" t="s">
        <v>477</v>
      </c>
      <c r="B218" t="str">
        <f t="shared" si="6"/>
        <v>erosion rating</v>
      </c>
      <c r="F218" s="64" t="s">
        <v>1864</v>
      </c>
      <c r="G218" t="str">
        <f t="shared" si="7"/>
        <v>food drying</v>
      </c>
      <c r="H218" t="s">
        <v>1864</v>
      </c>
      <c r="L218" t="s">
        <v>2048</v>
      </c>
    </row>
    <row r="219" spans="1:12">
      <c r="A219" t="s">
        <v>1672</v>
      </c>
      <c r="B219" t="str">
        <f t="shared" si="6"/>
        <v>ethnic</v>
      </c>
      <c r="F219" s="64" t="s">
        <v>611</v>
      </c>
      <c r="G219" t="str">
        <f t="shared" si="7"/>
        <v>forest</v>
      </c>
      <c r="H219" t="s">
        <v>611</v>
      </c>
      <c r="L219" t="s">
        <v>611</v>
      </c>
    </row>
    <row r="220" spans="1:12">
      <c r="A220" t="s">
        <v>1729</v>
      </c>
      <c r="B220" t="str">
        <f t="shared" si="6"/>
        <v>evidence-based </v>
      </c>
      <c r="F220" s="64" t="s">
        <v>611</v>
      </c>
      <c r="G220" t="str">
        <f t="shared" si="7"/>
        <v>forest</v>
      </c>
      <c r="H220" t="s">
        <v>611</v>
      </c>
      <c r="L220" t="s">
        <v>611</v>
      </c>
    </row>
    <row r="221" spans="1:12">
      <c r="A221" t="s">
        <v>464</v>
      </c>
      <c r="B221" t="str">
        <f t="shared" si="6"/>
        <v>exchangeable acidity</v>
      </c>
      <c r="F221" s="64" t="s">
        <v>1279</v>
      </c>
      <c r="G221" t="str">
        <f t="shared" si="7"/>
        <v>forest</v>
      </c>
      <c r="H221" t="s">
        <v>1279</v>
      </c>
      <c r="L221" t="s">
        <v>611</v>
      </c>
    </row>
    <row r="222" spans="1:12">
      <c r="A222" t="s">
        <v>554</v>
      </c>
      <c r="B222" t="str">
        <f t="shared" si="6"/>
        <v>fair price</v>
      </c>
      <c r="F222" s="64" t="s">
        <v>1714</v>
      </c>
      <c r="G222" t="str">
        <f t="shared" si="7"/>
        <v>formal education</v>
      </c>
      <c r="H222" t="s">
        <v>1714</v>
      </c>
      <c r="L222" t="s">
        <v>1714</v>
      </c>
    </row>
    <row r="223" spans="1:12">
      <c r="A223" t="s">
        <v>1509</v>
      </c>
      <c r="B223" t="str">
        <f t="shared" si="6"/>
        <v>fair price </v>
      </c>
      <c r="F223" s="64" t="s">
        <v>1865</v>
      </c>
      <c r="G223" t="str">
        <f t="shared" si="7"/>
        <v>formal education</v>
      </c>
      <c r="H223" t="s">
        <v>1865</v>
      </c>
      <c r="L223" t="s">
        <v>1714</v>
      </c>
    </row>
    <row r="224" spans="1:12">
      <c r="A224" t="s">
        <v>549</v>
      </c>
      <c r="B224" t="str">
        <f t="shared" si="6"/>
        <v>fair trade</v>
      </c>
      <c r="F224" s="64" t="s">
        <v>1663</v>
      </c>
      <c r="G224" t="str">
        <f t="shared" si="7"/>
        <v>gender</v>
      </c>
      <c r="H224" t="s">
        <v>1663</v>
      </c>
      <c r="L224" t="s">
        <v>1663</v>
      </c>
    </row>
    <row r="225" spans="1:12">
      <c r="A225" t="s">
        <v>1504</v>
      </c>
      <c r="B225" t="str">
        <f t="shared" si="6"/>
        <v>fair trade </v>
      </c>
      <c r="F225" s="64" t="s">
        <v>1866</v>
      </c>
      <c r="G225" t="str">
        <f t="shared" si="7"/>
        <v>gender</v>
      </c>
      <c r="H225" t="s">
        <v>1866</v>
      </c>
      <c r="L225" t="s">
        <v>1663</v>
      </c>
    </row>
    <row r="226" spans="1:12" ht="16.8">
      <c r="A226" s="2" t="s">
        <v>654</v>
      </c>
      <c r="B226" t="str">
        <f t="shared" si="6"/>
        <v>fairness</v>
      </c>
      <c r="F226" s="64" t="s">
        <v>644</v>
      </c>
      <c r="G226" t="str">
        <f t="shared" si="7"/>
        <v>generate</v>
      </c>
      <c r="H226" t="s">
        <v>644</v>
      </c>
      <c r="L226" t="s">
        <v>644</v>
      </c>
    </row>
    <row r="227" spans="1:12" ht="16.8">
      <c r="A227" s="2" t="s">
        <v>654</v>
      </c>
      <c r="B227" t="str">
        <f t="shared" si="6"/>
        <v>fairness</v>
      </c>
      <c r="F227" s="64" t="s">
        <v>1577</v>
      </c>
      <c r="G227" t="str">
        <f t="shared" si="7"/>
        <v>generate</v>
      </c>
      <c r="H227" t="s">
        <v>1577</v>
      </c>
      <c r="L227" t="s">
        <v>644</v>
      </c>
    </row>
    <row r="228" spans="1:12">
      <c r="A228" t="s">
        <v>1182</v>
      </c>
      <c r="B228" t="str">
        <f t="shared" si="6"/>
        <v>fairness </v>
      </c>
      <c r="F228" s="64" t="s">
        <v>568</v>
      </c>
      <c r="G228" t="str">
        <f t="shared" si="7"/>
        <v>governance</v>
      </c>
      <c r="H228" t="s">
        <v>568</v>
      </c>
      <c r="L228" t="s">
        <v>568</v>
      </c>
    </row>
    <row r="229" spans="1:12">
      <c r="A229" t="s">
        <v>1182</v>
      </c>
      <c r="B229" t="str">
        <f t="shared" si="6"/>
        <v>fairness </v>
      </c>
      <c r="F229" s="64" t="s">
        <v>1524</v>
      </c>
      <c r="G229" t="str">
        <f t="shared" si="7"/>
        <v>governance</v>
      </c>
      <c r="H229" t="s">
        <v>1524</v>
      </c>
      <c r="L229" t="s">
        <v>568</v>
      </c>
    </row>
    <row r="230" spans="1:12">
      <c r="A230" t="s">
        <v>1730</v>
      </c>
      <c r="B230" t="str">
        <f t="shared" si="6"/>
        <v>farm income </v>
      </c>
      <c r="F230" s="64" t="s">
        <v>1867</v>
      </c>
      <c r="G230" t="str">
        <f t="shared" si="7"/>
        <v>green house gas</v>
      </c>
      <c r="H230" t="s">
        <v>1867</v>
      </c>
      <c r="L230" t="s">
        <v>1867</v>
      </c>
    </row>
    <row r="231" spans="1:12">
      <c r="A231" t="s">
        <v>1704</v>
      </c>
      <c r="B231" t="str">
        <f t="shared" si="6"/>
        <v>farmer field school</v>
      </c>
      <c r="F231" s="64" t="s">
        <v>1868</v>
      </c>
      <c r="G231" t="str">
        <f t="shared" si="7"/>
        <v>green house gas</v>
      </c>
      <c r="H231" t="s">
        <v>1868</v>
      </c>
      <c r="L231" t="s">
        <v>1867</v>
      </c>
    </row>
    <row r="232" spans="1:12">
      <c r="A232" t="s">
        <v>1771</v>
      </c>
      <c r="B232" t="str">
        <f t="shared" si="6"/>
        <v>farmer field school </v>
      </c>
      <c r="F232" s="64" t="s">
        <v>1869</v>
      </c>
      <c r="G232" t="str">
        <f t="shared" si="7"/>
        <v>green manure</v>
      </c>
      <c r="H232" t="s">
        <v>1869</v>
      </c>
      <c r="L232" t="s">
        <v>1869</v>
      </c>
    </row>
    <row r="233" spans="1:12">
      <c r="A233" t="s">
        <v>1487</v>
      </c>
      <c r="B233" t="str">
        <f t="shared" si="6"/>
        <v>farmer group</v>
      </c>
      <c r="F233" s="64" t="s">
        <v>1870</v>
      </c>
      <c r="G233" t="str">
        <f t="shared" si="7"/>
        <v>green manure</v>
      </c>
      <c r="H233" t="s">
        <v>1870</v>
      </c>
      <c r="L233" t="s">
        <v>1869</v>
      </c>
    </row>
    <row r="234" spans="1:12">
      <c r="A234" t="s">
        <v>1772</v>
      </c>
      <c r="B234" t="str">
        <f t="shared" si="6"/>
        <v>farmer group </v>
      </c>
      <c r="F234" s="66" t="s">
        <v>1871</v>
      </c>
      <c r="G234" t="str">
        <f t="shared" si="7"/>
        <v>grey water</v>
      </c>
      <c r="H234" t="s">
        <v>1871</v>
      </c>
      <c r="L234" t="s">
        <v>1871</v>
      </c>
    </row>
    <row r="235" spans="1:12">
      <c r="A235" t="s">
        <v>1699</v>
      </c>
      <c r="B235" t="str">
        <f t="shared" si="6"/>
        <v>farmer knowledge</v>
      </c>
      <c r="F235" s="65" t="s">
        <v>1872</v>
      </c>
      <c r="G235" t="str">
        <f t="shared" si="7"/>
        <v>grey water</v>
      </c>
      <c r="H235" t="s">
        <v>1872</v>
      </c>
      <c r="L235" t="s">
        <v>1871</v>
      </c>
    </row>
    <row r="236" spans="1:12">
      <c r="A236" t="s">
        <v>1250</v>
      </c>
      <c r="B236" t="str">
        <f t="shared" si="6"/>
        <v>farmer organization </v>
      </c>
      <c r="F236" s="64" t="s">
        <v>1751</v>
      </c>
      <c r="G236" t="str">
        <f t="shared" si="7"/>
        <v>greywater</v>
      </c>
      <c r="H236" t="s">
        <v>1751</v>
      </c>
      <c r="L236" t="s">
        <v>1751</v>
      </c>
    </row>
    <row r="237" spans="1:12">
      <c r="A237" t="s">
        <v>1250</v>
      </c>
      <c r="B237" t="str">
        <f t="shared" si="6"/>
        <v>farmer organization </v>
      </c>
      <c r="F237" s="64" t="s">
        <v>564</v>
      </c>
      <c r="G237" t="str">
        <f t="shared" si="7"/>
        <v>groups</v>
      </c>
      <c r="H237" t="s">
        <v>564</v>
      </c>
      <c r="L237" t="s">
        <v>564</v>
      </c>
    </row>
    <row r="238" spans="1:12">
      <c r="A238" t="s">
        <v>1692</v>
      </c>
      <c r="B238" t="str">
        <f t="shared" si="6"/>
        <v>farmer-centered</v>
      </c>
      <c r="F238" s="64" t="s">
        <v>1520</v>
      </c>
      <c r="G238" t="str">
        <f t="shared" si="7"/>
        <v>groups</v>
      </c>
      <c r="H238" t="s">
        <v>1520</v>
      </c>
      <c r="L238" t="s">
        <v>564</v>
      </c>
    </row>
    <row r="239" spans="1:12">
      <c r="A239" t="s">
        <v>1470</v>
      </c>
      <c r="B239" t="str">
        <f t="shared" si="6"/>
        <v>farmer-led</v>
      </c>
      <c r="F239" s="64" t="s">
        <v>627</v>
      </c>
      <c r="G239" t="str">
        <f t="shared" si="7"/>
        <v>habitat</v>
      </c>
      <c r="H239" t="s">
        <v>627</v>
      </c>
      <c r="L239" t="s">
        <v>627</v>
      </c>
    </row>
    <row r="240" spans="1:12">
      <c r="A240" t="s">
        <v>528</v>
      </c>
      <c r="B240" t="str">
        <f t="shared" si="6"/>
        <v>farmer-to-farmer</v>
      </c>
      <c r="F240" s="64" t="s">
        <v>1379</v>
      </c>
      <c r="G240" t="str">
        <f t="shared" si="7"/>
        <v>habitat</v>
      </c>
      <c r="H240" t="s">
        <v>1379</v>
      </c>
      <c r="L240" t="s">
        <v>627</v>
      </c>
    </row>
    <row r="241" spans="1:12">
      <c r="A241" t="s">
        <v>528</v>
      </c>
      <c r="B241" t="str">
        <f t="shared" si="6"/>
        <v>farmer-to-farmer</v>
      </c>
      <c r="F241" s="64" t="s">
        <v>1873</v>
      </c>
      <c r="G241" t="str">
        <f t="shared" si="7"/>
        <v>half-moon</v>
      </c>
      <c r="H241" t="s">
        <v>1873</v>
      </c>
      <c r="L241" t="s">
        <v>1873</v>
      </c>
    </row>
    <row r="242" spans="1:12">
      <c r="A242" t="s">
        <v>1446</v>
      </c>
      <c r="B242" t="str">
        <f t="shared" si="6"/>
        <v>farmer-to-farmer </v>
      </c>
      <c r="F242" s="64" t="s">
        <v>1874</v>
      </c>
      <c r="G242" t="str">
        <f t="shared" si="7"/>
        <v>half-moon</v>
      </c>
      <c r="H242" t="s">
        <v>1874</v>
      </c>
      <c r="L242" t="s">
        <v>1873</v>
      </c>
    </row>
    <row r="243" spans="1:12">
      <c r="A243" t="s">
        <v>646</v>
      </c>
      <c r="B243" t="str">
        <f t="shared" si="6"/>
        <v>farm-saved</v>
      </c>
      <c r="F243" s="64" t="s">
        <v>1717</v>
      </c>
      <c r="G243" t="str">
        <f t="shared" si="7"/>
        <v>hardpan</v>
      </c>
      <c r="H243" t="s">
        <v>1717</v>
      </c>
      <c r="L243" t="s">
        <v>1717</v>
      </c>
    </row>
    <row r="244" spans="1:12">
      <c r="A244" t="s">
        <v>646</v>
      </c>
      <c r="B244" t="str">
        <f t="shared" si="6"/>
        <v>farm-saved</v>
      </c>
      <c r="F244" s="64" t="s">
        <v>584</v>
      </c>
      <c r="G244" t="str">
        <f t="shared" si="7"/>
        <v>harvesting</v>
      </c>
      <c r="H244" t="s">
        <v>584</v>
      </c>
      <c r="L244" t="s">
        <v>584</v>
      </c>
    </row>
    <row r="245" spans="1:12">
      <c r="A245" t="s">
        <v>1579</v>
      </c>
      <c r="B245" t="str">
        <f t="shared" si="6"/>
        <v>farm-saved </v>
      </c>
      <c r="F245" s="65" t="s">
        <v>1333</v>
      </c>
      <c r="G245" t="str">
        <f t="shared" si="7"/>
        <v>harvesting</v>
      </c>
      <c r="H245" t="s">
        <v>1333</v>
      </c>
      <c r="L245" t="s">
        <v>584</v>
      </c>
    </row>
    <row r="246" spans="1:12">
      <c r="A246" t="s">
        <v>1773</v>
      </c>
      <c r="B246" t="str">
        <f t="shared" si="6"/>
        <v>femini</v>
      </c>
      <c r="F246" s="64" t="s">
        <v>587</v>
      </c>
      <c r="G246" t="str">
        <f t="shared" si="7"/>
        <v>health</v>
      </c>
      <c r="H246" t="s">
        <v>587</v>
      </c>
      <c r="L246" t="s">
        <v>587</v>
      </c>
    </row>
    <row r="247" spans="1:12">
      <c r="A247" t="s">
        <v>476</v>
      </c>
      <c r="B247" t="str">
        <f t="shared" si="6"/>
        <v>field infiltration</v>
      </c>
      <c r="F247" s="64" t="s">
        <v>587</v>
      </c>
      <c r="G247" t="str">
        <f t="shared" si="7"/>
        <v>health</v>
      </c>
      <c r="H247" t="s">
        <v>587</v>
      </c>
      <c r="L247" t="s">
        <v>587</v>
      </c>
    </row>
    <row r="248" spans="1:12">
      <c r="A248" t="s">
        <v>1705</v>
      </c>
      <c r="B248" t="str">
        <f t="shared" si="6"/>
        <v>field school</v>
      </c>
      <c r="F248" s="66" t="s">
        <v>1643</v>
      </c>
      <c r="G248" t="str">
        <f t="shared" si="7"/>
        <v>health</v>
      </c>
      <c r="H248" t="s">
        <v>587</v>
      </c>
      <c r="L248" t="s">
        <v>587</v>
      </c>
    </row>
    <row r="249" spans="1:12">
      <c r="A249" t="s">
        <v>1774</v>
      </c>
      <c r="B249" t="str">
        <f t="shared" si="6"/>
        <v>field school </v>
      </c>
      <c r="F249" s="65" t="s">
        <v>1350</v>
      </c>
      <c r="G249" t="str">
        <f t="shared" si="7"/>
        <v>health</v>
      </c>
      <c r="H249" t="s">
        <v>1350</v>
      </c>
      <c r="L249" t="s">
        <v>587</v>
      </c>
    </row>
    <row r="250" spans="1:12">
      <c r="A250" t="s">
        <v>1559</v>
      </c>
      <c r="B250" t="str">
        <f t="shared" si="6"/>
        <v>fish-duck-rice system</v>
      </c>
      <c r="F250" s="64" t="s">
        <v>546</v>
      </c>
      <c r="G250" t="str">
        <f t="shared" si="7"/>
        <v>healthy</v>
      </c>
      <c r="H250" t="s">
        <v>546</v>
      </c>
      <c r="L250" t="s">
        <v>546</v>
      </c>
    </row>
    <row r="251" spans="1:12">
      <c r="A251" t="s">
        <v>1392</v>
      </c>
      <c r="B251" t="str">
        <f t="shared" si="6"/>
        <v>fish-duck-rice system </v>
      </c>
      <c r="F251" s="64" t="s">
        <v>1537</v>
      </c>
      <c r="G251" t="str">
        <f t="shared" si="7"/>
        <v>healthy</v>
      </c>
      <c r="H251" t="s">
        <v>1537</v>
      </c>
      <c r="L251" t="s">
        <v>546</v>
      </c>
    </row>
    <row r="252" spans="1:12">
      <c r="A252" t="s">
        <v>1649</v>
      </c>
      <c r="B252" t="str">
        <f t="shared" si="6"/>
        <v>flower strips</v>
      </c>
      <c r="F252" s="64" t="s">
        <v>1875</v>
      </c>
      <c r="G252" t="str">
        <f t="shared" si="7"/>
        <v>heavy metals</v>
      </c>
      <c r="H252" t="s">
        <v>1875</v>
      </c>
      <c r="L252" t="s">
        <v>1875</v>
      </c>
    </row>
    <row r="253" spans="1:12">
      <c r="A253" s="55" t="s">
        <v>1288</v>
      </c>
      <c r="B253" t="str">
        <f t="shared" si="6"/>
        <v>flower strips </v>
      </c>
      <c r="F253" s="64" t="s">
        <v>1876</v>
      </c>
      <c r="G253" t="str">
        <f t="shared" si="7"/>
        <v>hedgerows</v>
      </c>
      <c r="H253" t="s">
        <v>1876</v>
      </c>
      <c r="L253" t="s">
        <v>1876</v>
      </c>
    </row>
    <row r="254" spans="1:12">
      <c r="A254" t="s">
        <v>521</v>
      </c>
      <c r="B254" t="str">
        <f t="shared" si="6"/>
        <v>food chain</v>
      </c>
      <c r="F254" s="64" t="s">
        <v>1877</v>
      </c>
      <c r="G254" t="str">
        <f t="shared" si="7"/>
        <v>hedgerows</v>
      </c>
      <c r="H254" t="s">
        <v>1877</v>
      </c>
      <c r="L254" t="s">
        <v>1876</v>
      </c>
    </row>
    <row r="255" spans="1:12">
      <c r="A255" t="s">
        <v>1255</v>
      </c>
      <c r="B255" t="str">
        <f t="shared" si="6"/>
        <v>food chain </v>
      </c>
      <c r="F255" s="64" t="s">
        <v>540</v>
      </c>
      <c r="G255" t="str">
        <f t="shared" si="7"/>
        <v>heritage</v>
      </c>
      <c r="H255" t="s">
        <v>540</v>
      </c>
      <c r="L255" t="s">
        <v>540</v>
      </c>
    </row>
    <row r="256" spans="1:12">
      <c r="A256" t="s">
        <v>1225</v>
      </c>
      <c r="B256" t="str">
        <f t="shared" si="6"/>
        <v>food drying </v>
      </c>
      <c r="F256" s="64" t="s">
        <v>1531</v>
      </c>
      <c r="G256" t="str">
        <f t="shared" si="7"/>
        <v>heritage</v>
      </c>
      <c r="H256" t="s">
        <v>1531</v>
      </c>
      <c r="L256" t="s">
        <v>540</v>
      </c>
    </row>
    <row r="257" spans="1:12">
      <c r="A257" t="s">
        <v>611</v>
      </c>
      <c r="B257" t="str">
        <f t="shared" si="6"/>
        <v>forest</v>
      </c>
      <c r="F257" s="64" t="s">
        <v>1878</v>
      </c>
      <c r="G257" t="str">
        <f t="shared" si="7"/>
        <v>hermetic bags</v>
      </c>
      <c r="H257" t="s">
        <v>1878</v>
      </c>
      <c r="L257" t="s">
        <v>2049</v>
      </c>
    </row>
    <row r="258" spans="1:12">
      <c r="A258" t="s">
        <v>611</v>
      </c>
      <c r="B258" t="str">
        <f t="shared" ref="B258:B321" si="8">LOWER(A258)</f>
        <v>forest</v>
      </c>
      <c r="F258" s="64" t="s">
        <v>625</v>
      </c>
      <c r="G258" t="str">
        <f t="shared" ref="G258:G321" si="9">TRIM(SUBSTITUTE(F258,CHAR(160)," "))</f>
        <v>holistic</v>
      </c>
      <c r="H258" t="s">
        <v>625</v>
      </c>
      <c r="L258" t="s">
        <v>625</v>
      </c>
    </row>
    <row r="259" spans="1:12">
      <c r="A259" t="s">
        <v>1279</v>
      </c>
      <c r="B259" t="str">
        <f t="shared" si="8"/>
        <v>forest </v>
      </c>
      <c r="F259" s="64" t="s">
        <v>1377</v>
      </c>
      <c r="G259" t="str">
        <f t="shared" si="9"/>
        <v>holistic</v>
      </c>
      <c r="H259" t="s">
        <v>1377</v>
      </c>
      <c r="L259" t="s">
        <v>625</v>
      </c>
    </row>
    <row r="260" spans="1:12">
      <c r="A260" t="s">
        <v>1714</v>
      </c>
      <c r="B260" t="str">
        <f t="shared" si="8"/>
        <v>formal education</v>
      </c>
      <c r="F260" s="64" t="s">
        <v>1660</v>
      </c>
      <c r="G260" t="str">
        <f t="shared" si="9"/>
        <v>human</v>
      </c>
      <c r="H260" t="s">
        <v>1660</v>
      </c>
      <c r="L260" t="s">
        <v>1660</v>
      </c>
    </row>
    <row r="261" spans="1:12">
      <c r="A261" t="s">
        <v>1468</v>
      </c>
      <c r="B261" t="str">
        <f t="shared" si="8"/>
        <v>formal education </v>
      </c>
      <c r="F261" s="64" t="s">
        <v>1679</v>
      </c>
      <c r="G261" t="str">
        <f t="shared" si="9"/>
        <v>human values</v>
      </c>
      <c r="H261" t="s">
        <v>1679</v>
      </c>
      <c r="L261" t="s">
        <v>1679</v>
      </c>
    </row>
    <row r="262" spans="1:12">
      <c r="A262" t="s">
        <v>1663</v>
      </c>
      <c r="B262" t="str">
        <f t="shared" si="8"/>
        <v>gender</v>
      </c>
      <c r="F262" s="64" t="s">
        <v>1879</v>
      </c>
      <c r="G262" t="str">
        <f t="shared" si="9"/>
        <v>improved storage</v>
      </c>
      <c r="H262" t="s">
        <v>1879</v>
      </c>
      <c r="L262" t="s">
        <v>2050</v>
      </c>
    </row>
    <row r="263" spans="1:12">
      <c r="A263" t="s">
        <v>1775</v>
      </c>
      <c r="B263" t="str">
        <f t="shared" si="8"/>
        <v>gender </v>
      </c>
      <c r="F263" s="64" t="s">
        <v>559</v>
      </c>
      <c r="G263" t="str">
        <f t="shared" si="9"/>
        <v>inclusive</v>
      </c>
      <c r="H263" t="s">
        <v>559</v>
      </c>
      <c r="L263" t="s">
        <v>559</v>
      </c>
    </row>
    <row r="264" spans="1:12">
      <c r="A264" t="s">
        <v>644</v>
      </c>
      <c r="B264" t="str">
        <f t="shared" si="8"/>
        <v>generate</v>
      </c>
      <c r="F264" s="64" t="s">
        <v>1880</v>
      </c>
      <c r="G264" t="str">
        <f t="shared" si="9"/>
        <v>inclusive policy</v>
      </c>
      <c r="H264" t="s">
        <v>1880</v>
      </c>
      <c r="L264" t="s">
        <v>2051</v>
      </c>
    </row>
    <row r="265" spans="1:12">
      <c r="A265" t="s">
        <v>644</v>
      </c>
      <c r="B265" t="str">
        <f t="shared" si="8"/>
        <v>generate</v>
      </c>
      <c r="F265" s="64" t="s">
        <v>1515</v>
      </c>
      <c r="G265" t="str">
        <f t="shared" si="9"/>
        <v>inclusive</v>
      </c>
      <c r="H265" t="s">
        <v>1515</v>
      </c>
      <c r="L265" t="s">
        <v>559</v>
      </c>
    </row>
    <row r="266" spans="1:12">
      <c r="A266" t="s">
        <v>1577</v>
      </c>
      <c r="B266" t="str">
        <f t="shared" si="8"/>
        <v>generate </v>
      </c>
      <c r="F266" s="64" t="s">
        <v>1881</v>
      </c>
      <c r="G266" t="str">
        <f t="shared" si="9"/>
        <v>income</v>
      </c>
      <c r="H266" t="s">
        <v>1881</v>
      </c>
      <c r="L266" t="s">
        <v>2052</v>
      </c>
    </row>
    <row r="267" spans="1:12">
      <c r="A267" t="s">
        <v>568</v>
      </c>
      <c r="B267" t="str">
        <f t="shared" si="8"/>
        <v>governance</v>
      </c>
      <c r="F267" s="64" t="s">
        <v>516</v>
      </c>
      <c r="G267" t="str">
        <f t="shared" si="9"/>
        <v>indigenous</v>
      </c>
      <c r="H267" t="s">
        <v>516</v>
      </c>
      <c r="L267" t="s">
        <v>516</v>
      </c>
    </row>
    <row r="268" spans="1:12">
      <c r="A268" t="s">
        <v>1524</v>
      </c>
      <c r="B268" t="str">
        <f t="shared" si="8"/>
        <v>governance </v>
      </c>
      <c r="F268" s="64" t="s">
        <v>648</v>
      </c>
      <c r="G268" t="str">
        <f t="shared" si="9"/>
        <v>indigenous breed</v>
      </c>
      <c r="H268" t="s">
        <v>648</v>
      </c>
      <c r="L268" t="s">
        <v>648</v>
      </c>
    </row>
    <row r="269" spans="1:12">
      <c r="A269" t="s">
        <v>1431</v>
      </c>
      <c r="B269" t="str">
        <f t="shared" si="8"/>
        <v>green house gas</v>
      </c>
      <c r="F269" s="64" t="s">
        <v>1551</v>
      </c>
      <c r="G269" t="str">
        <f t="shared" si="9"/>
        <v>indigenous breed</v>
      </c>
      <c r="H269" t="s">
        <v>1551</v>
      </c>
      <c r="L269" t="s">
        <v>648</v>
      </c>
    </row>
    <row r="270" spans="1:12">
      <c r="A270" t="s">
        <v>1411</v>
      </c>
      <c r="B270" t="str">
        <f t="shared" si="8"/>
        <v>green house gas </v>
      </c>
      <c r="F270" s="64" t="s">
        <v>539</v>
      </c>
      <c r="G270" t="str">
        <f t="shared" si="9"/>
        <v>indigenous crops</v>
      </c>
      <c r="H270" t="s">
        <v>539</v>
      </c>
      <c r="L270" t="s">
        <v>539</v>
      </c>
    </row>
    <row r="271" spans="1:12">
      <c r="A271" t="s">
        <v>1420</v>
      </c>
      <c r="B271" t="str">
        <f t="shared" si="8"/>
        <v>green manure</v>
      </c>
      <c r="F271" s="64" t="s">
        <v>1530</v>
      </c>
      <c r="G271" t="str">
        <f t="shared" si="9"/>
        <v>indigenous crops</v>
      </c>
      <c r="H271" t="s">
        <v>1530</v>
      </c>
      <c r="L271" t="s">
        <v>539</v>
      </c>
    </row>
    <row r="272" spans="1:12">
      <c r="A272" t="s">
        <v>1589</v>
      </c>
      <c r="B272" t="str">
        <f t="shared" si="8"/>
        <v>green manure </v>
      </c>
      <c r="F272" s="64" t="s">
        <v>534</v>
      </c>
      <c r="G272" t="str">
        <f t="shared" si="9"/>
        <v>indigenous knowledge</v>
      </c>
      <c r="H272" t="s">
        <v>534</v>
      </c>
      <c r="L272" t="s">
        <v>534</v>
      </c>
    </row>
    <row r="273" spans="1:12">
      <c r="A273" s="35" t="s">
        <v>1639</v>
      </c>
      <c r="B273" t="str">
        <f t="shared" si="8"/>
        <v>grey water</v>
      </c>
      <c r="F273" s="64" t="s">
        <v>1453</v>
      </c>
      <c r="G273" t="str">
        <f t="shared" si="9"/>
        <v>indigenous knowledge</v>
      </c>
      <c r="H273" t="s">
        <v>1453</v>
      </c>
      <c r="L273" t="s">
        <v>534</v>
      </c>
    </row>
    <row r="274" spans="1:12">
      <c r="A274" s="55" t="s">
        <v>1330</v>
      </c>
      <c r="B274" t="str">
        <f t="shared" si="8"/>
        <v>grey water </v>
      </c>
      <c r="F274" s="64" t="s">
        <v>1195</v>
      </c>
      <c r="G274" t="str">
        <f t="shared" si="9"/>
        <v>indigenous</v>
      </c>
      <c r="H274" t="s">
        <v>1195</v>
      </c>
      <c r="L274" t="s">
        <v>516</v>
      </c>
    </row>
    <row r="275" spans="1:12">
      <c r="A275" t="s">
        <v>1751</v>
      </c>
      <c r="B275" t="str">
        <f t="shared" si="8"/>
        <v>greywater</v>
      </c>
      <c r="F275" s="64" t="s">
        <v>1681</v>
      </c>
      <c r="G275" t="str">
        <f t="shared" si="9"/>
        <v>inequity</v>
      </c>
      <c r="H275" t="s">
        <v>1681</v>
      </c>
      <c r="L275" t="s">
        <v>1681</v>
      </c>
    </row>
    <row r="276" spans="1:12">
      <c r="A276" t="s">
        <v>564</v>
      </c>
      <c r="B276" t="str">
        <f t="shared" si="8"/>
        <v>groups</v>
      </c>
      <c r="F276" s="64" t="s">
        <v>1882</v>
      </c>
      <c r="G276" t="str">
        <f t="shared" si="9"/>
        <v>infiltration rate</v>
      </c>
      <c r="H276" t="s">
        <v>1882</v>
      </c>
      <c r="L276" t="s">
        <v>1882</v>
      </c>
    </row>
    <row r="277" spans="1:12">
      <c r="A277" t="s">
        <v>1520</v>
      </c>
      <c r="B277" t="str">
        <f t="shared" si="8"/>
        <v>groups </v>
      </c>
      <c r="F277" s="64" t="s">
        <v>894</v>
      </c>
      <c r="G277" t="str">
        <f t="shared" si="9"/>
        <v>information</v>
      </c>
      <c r="H277" t="s">
        <v>894</v>
      </c>
      <c r="L277" t="s">
        <v>894</v>
      </c>
    </row>
    <row r="278" spans="1:12">
      <c r="A278" s="53" t="s">
        <v>627</v>
      </c>
      <c r="B278" t="str">
        <f t="shared" si="8"/>
        <v>habitat</v>
      </c>
      <c r="F278" s="68" t="s">
        <v>1697</v>
      </c>
      <c r="G278" t="str">
        <f t="shared" si="9"/>
        <v>information sharing</v>
      </c>
      <c r="H278" t="s">
        <v>1697</v>
      </c>
      <c r="L278" t="s">
        <v>1697</v>
      </c>
    </row>
    <row r="279" spans="1:12">
      <c r="A279" t="s">
        <v>627</v>
      </c>
      <c r="B279" t="str">
        <f t="shared" si="8"/>
        <v>habitat</v>
      </c>
      <c r="F279" s="67" t="s">
        <v>1783</v>
      </c>
      <c r="G279" t="str">
        <f t="shared" si="9"/>
        <v>information</v>
      </c>
      <c r="H279" t="s">
        <v>1783</v>
      </c>
      <c r="L279" t="s">
        <v>894</v>
      </c>
    </row>
    <row r="280" spans="1:12">
      <c r="A280" t="s">
        <v>1379</v>
      </c>
      <c r="B280" t="str">
        <f t="shared" si="8"/>
        <v>habitat </v>
      </c>
      <c r="F280" s="64" t="s">
        <v>901</v>
      </c>
      <c r="G280" t="str">
        <f t="shared" si="9"/>
        <v>insects</v>
      </c>
      <c r="H280" t="s">
        <v>901</v>
      </c>
      <c r="L280" t="s">
        <v>901</v>
      </c>
    </row>
    <row r="281" spans="1:12">
      <c r="A281" t="s">
        <v>1416</v>
      </c>
      <c r="B281" t="str">
        <f t="shared" si="8"/>
        <v>half-moon</v>
      </c>
      <c r="F281" s="64" t="s">
        <v>901</v>
      </c>
      <c r="G281" t="str">
        <f t="shared" si="9"/>
        <v>insects</v>
      </c>
      <c r="H281" t="s">
        <v>901</v>
      </c>
      <c r="L281" t="s">
        <v>901</v>
      </c>
    </row>
    <row r="282" spans="1:12">
      <c r="A282" t="s">
        <v>1405</v>
      </c>
      <c r="B282" t="str">
        <f t="shared" si="8"/>
        <v>half-moon </v>
      </c>
      <c r="F282" s="65" t="s">
        <v>1282</v>
      </c>
      <c r="G282" t="str">
        <f t="shared" si="9"/>
        <v>insects</v>
      </c>
      <c r="H282" t="s">
        <v>1282</v>
      </c>
      <c r="L282" t="s">
        <v>901</v>
      </c>
    </row>
    <row r="283" spans="1:12">
      <c r="A283" t="s">
        <v>1717</v>
      </c>
      <c r="B283" t="str">
        <f t="shared" si="8"/>
        <v>hardpan</v>
      </c>
      <c r="F283" s="64" t="s">
        <v>1883</v>
      </c>
      <c r="G283" t="str">
        <f t="shared" si="9"/>
        <v>insurance</v>
      </c>
      <c r="H283" t="s">
        <v>1883</v>
      </c>
      <c r="L283" t="s">
        <v>2053</v>
      </c>
    </row>
    <row r="284" spans="1:12">
      <c r="A284" t="s">
        <v>584</v>
      </c>
      <c r="B284" t="str">
        <f t="shared" si="8"/>
        <v>harvesting</v>
      </c>
      <c r="F284" s="64" t="s">
        <v>624</v>
      </c>
      <c r="G284" t="str">
        <f t="shared" si="9"/>
        <v>integrated</v>
      </c>
      <c r="H284" t="s">
        <v>624</v>
      </c>
      <c r="L284" t="s">
        <v>624</v>
      </c>
    </row>
    <row r="285" spans="1:12">
      <c r="A285" s="55" t="s">
        <v>1333</v>
      </c>
      <c r="B285" t="str">
        <f t="shared" si="8"/>
        <v>harvesting </v>
      </c>
      <c r="F285" s="64" t="s">
        <v>1884</v>
      </c>
      <c r="G285" t="str">
        <f t="shared" si="9"/>
        <v>integrated crop-livestock</v>
      </c>
      <c r="H285" t="s">
        <v>1884</v>
      </c>
      <c r="L285" t="s">
        <v>1884</v>
      </c>
    </row>
    <row r="286" spans="1:12">
      <c r="A286" t="s">
        <v>587</v>
      </c>
      <c r="B286" t="str">
        <f t="shared" si="8"/>
        <v>health</v>
      </c>
      <c r="F286" s="64" t="s">
        <v>1885</v>
      </c>
      <c r="G286" t="str">
        <f t="shared" si="9"/>
        <v>integrated crop-livestock</v>
      </c>
      <c r="H286" t="s">
        <v>1885</v>
      </c>
      <c r="L286" t="s">
        <v>1884</v>
      </c>
    </row>
    <row r="287" spans="1:12">
      <c r="A287" t="s">
        <v>587</v>
      </c>
      <c r="B287" t="str">
        <f t="shared" si="8"/>
        <v>health</v>
      </c>
      <c r="F287" s="64" t="s">
        <v>1886</v>
      </c>
      <c r="G287" t="str">
        <f t="shared" si="9"/>
        <v>integrated pest management</v>
      </c>
      <c r="H287" t="s">
        <v>1886</v>
      </c>
      <c r="L287" t="s">
        <v>1886</v>
      </c>
    </row>
    <row r="288" spans="1:12">
      <c r="A288" s="35" t="s">
        <v>1643</v>
      </c>
      <c r="B288" t="str">
        <f t="shared" si="8"/>
        <v xml:space="preserve">health </v>
      </c>
      <c r="F288" s="64" t="s">
        <v>1887</v>
      </c>
      <c r="G288" t="str">
        <f t="shared" si="9"/>
        <v>integrated pest management</v>
      </c>
      <c r="H288" t="s">
        <v>1887</v>
      </c>
      <c r="L288" t="s">
        <v>1886</v>
      </c>
    </row>
    <row r="289" spans="1:12">
      <c r="A289" s="55" t="s">
        <v>1350</v>
      </c>
      <c r="B289" t="str">
        <f t="shared" si="8"/>
        <v>health </v>
      </c>
      <c r="F289" s="64" t="s">
        <v>1376</v>
      </c>
      <c r="G289" t="str">
        <f t="shared" si="9"/>
        <v>integrated</v>
      </c>
      <c r="H289" t="s">
        <v>1376</v>
      </c>
      <c r="L289" t="s">
        <v>624</v>
      </c>
    </row>
    <row r="290" spans="1:12">
      <c r="A290" t="s">
        <v>546</v>
      </c>
      <c r="B290" t="str">
        <f t="shared" si="8"/>
        <v>healthy</v>
      </c>
      <c r="F290" s="64" t="s">
        <v>1888</v>
      </c>
      <c r="G290" t="str">
        <f t="shared" si="9"/>
        <v>integration</v>
      </c>
      <c r="H290" t="s">
        <v>1888</v>
      </c>
      <c r="L290" t="s">
        <v>1888</v>
      </c>
    </row>
    <row r="291" spans="1:12">
      <c r="A291" t="s">
        <v>546</v>
      </c>
      <c r="B291" t="str">
        <f t="shared" si="8"/>
        <v>healthy</v>
      </c>
      <c r="F291" s="64" t="s">
        <v>1889</v>
      </c>
      <c r="G291" t="str">
        <f t="shared" si="9"/>
        <v>integration</v>
      </c>
      <c r="H291" t="s">
        <v>1889</v>
      </c>
      <c r="L291" t="s">
        <v>1888</v>
      </c>
    </row>
    <row r="292" spans="1:12">
      <c r="A292" t="s">
        <v>1537</v>
      </c>
      <c r="B292" t="str">
        <f t="shared" si="8"/>
        <v>healthy </v>
      </c>
      <c r="F292" s="64" t="s">
        <v>519</v>
      </c>
      <c r="G292" t="str">
        <f t="shared" si="9"/>
        <v>intellectual property</v>
      </c>
      <c r="H292" t="s">
        <v>519</v>
      </c>
      <c r="L292" t="s">
        <v>519</v>
      </c>
    </row>
    <row r="293" spans="1:12">
      <c r="A293" t="s">
        <v>467</v>
      </c>
      <c r="B293" t="str">
        <f t="shared" si="8"/>
        <v>heavy metals</v>
      </c>
      <c r="F293" s="64" t="s">
        <v>556</v>
      </c>
      <c r="G293" t="str">
        <f t="shared" si="9"/>
        <v>intellectual property rights</v>
      </c>
      <c r="H293" t="s">
        <v>556</v>
      </c>
      <c r="L293" t="s">
        <v>556</v>
      </c>
    </row>
    <row r="294" spans="1:12">
      <c r="A294" t="s">
        <v>1415</v>
      </c>
      <c r="B294" t="str">
        <f t="shared" si="8"/>
        <v>hedgerows</v>
      </c>
      <c r="F294" s="64" t="s">
        <v>1511</v>
      </c>
      <c r="G294" t="str">
        <f t="shared" si="9"/>
        <v>intellectual property rights</v>
      </c>
      <c r="H294" t="s">
        <v>1511</v>
      </c>
      <c r="L294" t="s">
        <v>556</v>
      </c>
    </row>
    <row r="295" spans="1:12">
      <c r="A295" t="s">
        <v>1404</v>
      </c>
      <c r="B295" t="str">
        <f t="shared" si="8"/>
        <v>hedgerows </v>
      </c>
      <c r="F295" s="64" t="s">
        <v>1198</v>
      </c>
      <c r="G295" t="str">
        <f t="shared" si="9"/>
        <v>intellectual property</v>
      </c>
      <c r="H295" t="s">
        <v>1198</v>
      </c>
      <c r="L295" t="s">
        <v>519</v>
      </c>
    </row>
    <row r="296" spans="1:12">
      <c r="A296" t="s">
        <v>540</v>
      </c>
      <c r="B296" t="str">
        <f t="shared" si="8"/>
        <v>heritage</v>
      </c>
      <c r="F296" s="64" t="s">
        <v>621</v>
      </c>
      <c r="G296" t="str">
        <f t="shared" si="9"/>
        <v>intercropping</v>
      </c>
      <c r="H296" t="s">
        <v>621</v>
      </c>
      <c r="L296" t="s">
        <v>621</v>
      </c>
    </row>
    <row r="297" spans="1:12">
      <c r="A297" t="s">
        <v>540</v>
      </c>
      <c r="B297" t="str">
        <f t="shared" si="8"/>
        <v>heritage</v>
      </c>
      <c r="F297" s="64" t="s">
        <v>621</v>
      </c>
      <c r="G297" t="str">
        <f t="shared" si="9"/>
        <v>intercropping</v>
      </c>
      <c r="H297" t="s">
        <v>621</v>
      </c>
      <c r="L297" t="s">
        <v>621</v>
      </c>
    </row>
    <row r="298" spans="1:12">
      <c r="A298" t="s">
        <v>1531</v>
      </c>
      <c r="B298" t="str">
        <f t="shared" si="8"/>
        <v>heritage </v>
      </c>
      <c r="F298" s="64" t="s">
        <v>1373</v>
      </c>
      <c r="G298" t="str">
        <f t="shared" si="9"/>
        <v>intercropping</v>
      </c>
      <c r="H298" t="s">
        <v>1373</v>
      </c>
      <c r="L298" t="s">
        <v>621</v>
      </c>
    </row>
    <row r="299" spans="1:12">
      <c r="A299" t="s">
        <v>1240</v>
      </c>
      <c r="B299" t="str">
        <f t="shared" si="8"/>
        <v>hermetic bags </v>
      </c>
      <c r="F299" s="65" t="s">
        <v>1890</v>
      </c>
      <c r="G299" t="str">
        <f t="shared" si="9"/>
        <v>inter-cropping</v>
      </c>
      <c r="H299" t="s">
        <v>1890</v>
      </c>
      <c r="L299" t="s">
        <v>2054</v>
      </c>
    </row>
    <row r="300" spans="1:12">
      <c r="A300" t="s">
        <v>625</v>
      </c>
      <c r="B300" t="str">
        <f t="shared" si="8"/>
        <v>holistic</v>
      </c>
      <c r="F300" s="64" t="s">
        <v>1891</v>
      </c>
      <c r="G300" t="str">
        <f t="shared" si="9"/>
        <v>interface</v>
      </c>
      <c r="H300" t="s">
        <v>1891</v>
      </c>
      <c r="L300" t="s">
        <v>2055</v>
      </c>
    </row>
    <row r="301" spans="1:12">
      <c r="A301" t="s">
        <v>625</v>
      </c>
      <c r="B301" t="str">
        <f t="shared" si="8"/>
        <v>holistic</v>
      </c>
      <c r="F301" s="64" t="s">
        <v>1892</v>
      </c>
      <c r="G301" t="str">
        <f t="shared" si="9"/>
        <v>iron</v>
      </c>
      <c r="H301" t="s">
        <v>1892</v>
      </c>
      <c r="L301" t="s">
        <v>1892</v>
      </c>
    </row>
    <row r="302" spans="1:12">
      <c r="A302" s="58" t="s">
        <v>1377</v>
      </c>
      <c r="B302" t="str">
        <f t="shared" si="8"/>
        <v>holistic </v>
      </c>
      <c r="F302" s="69" t="s">
        <v>1893</v>
      </c>
      <c r="G302" t="str">
        <f t="shared" si="9"/>
        <v>job</v>
      </c>
      <c r="H302" t="s">
        <v>1893</v>
      </c>
      <c r="L302" t="s">
        <v>2056</v>
      </c>
    </row>
    <row r="303" spans="1:12">
      <c r="A303" t="s">
        <v>1660</v>
      </c>
      <c r="B303" t="str">
        <f t="shared" si="8"/>
        <v>human</v>
      </c>
      <c r="F303" s="64" t="s">
        <v>553</v>
      </c>
      <c r="G303" t="str">
        <f t="shared" si="9"/>
        <v>just</v>
      </c>
      <c r="H303" t="s">
        <v>553</v>
      </c>
      <c r="L303" t="s">
        <v>553</v>
      </c>
    </row>
    <row r="304" spans="1:12">
      <c r="A304" t="s">
        <v>1679</v>
      </c>
      <c r="B304" t="str">
        <f t="shared" si="8"/>
        <v>human values</v>
      </c>
      <c r="F304" s="64" t="s">
        <v>1508</v>
      </c>
      <c r="G304" t="str">
        <f t="shared" si="9"/>
        <v>just</v>
      </c>
      <c r="H304" t="s">
        <v>1508</v>
      </c>
      <c r="L304" t="s">
        <v>553</v>
      </c>
    </row>
    <row r="305" spans="1:12">
      <c r="A305" t="s">
        <v>1239</v>
      </c>
      <c r="B305" t="str">
        <f t="shared" si="8"/>
        <v>improved storage </v>
      </c>
      <c r="F305" s="64" t="s">
        <v>527</v>
      </c>
      <c r="G305" t="str">
        <f t="shared" si="9"/>
        <v>knowledge</v>
      </c>
      <c r="H305" t="s">
        <v>527</v>
      </c>
      <c r="L305" t="s">
        <v>527</v>
      </c>
    </row>
    <row r="306" spans="1:12">
      <c r="A306" t="s">
        <v>559</v>
      </c>
      <c r="B306" t="str">
        <f t="shared" si="8"/>
        <v>inclusive</v>
      </c>
      <c r="F306" s="64" t="s">
        <v>1701</v>
      </c>
      <c r="G306" t="str">
        <f t="shared" si="9"/>
        <v>knowledge co-creation</v>
      </c>
      <c r="H306" t="s">
        <v>1701</v>
      </c>
      <c r="L306" t="s">
        <v>1701</v>
      </c>
    </row>
    <row r="307" spans="1:12">
      <c r="A307" t="s">
        <v>559</v>
      </c>
      <c r="B307" t="str">
        <f t="shared" si="8"/>
        <v>inclusive</v>
      </c>
      <c r="F307" s="64" t="s">
        <v>1702</v>
      </c>
      <c r="G307" t="str">
        <f t="shared" si="9"/>
        <v>knowledge co-production</v>
      </c>
      <c r="H307" t="s">
        <v>1702</v>
      </c>
      <c r="L307" t="s">
        <v>1702</v>
      </c>
    </row>
    <row r="308" spans="1:12">
      <c r="A308" t="s">
        <v>1731</v>
      </c>
      <c r="B308" t="str">
        <f t="shared" si="8"/>
        <v>inclusive policy </v>
      </c>
      <c r="F308" s="64" t="s">
        <v>1700</v>
      </c>
      <c r="G308" t="str">
        <f t="shared" si="9"/>
        <v>knowledge exchange</v>
      </c>
      <c r="H308" t="s">
        <v>1700</v>
      </c>
      <c r="L308" t="s">
        <v>1700</v>
      </c>
    </row>
    <row r="309" spans="1:12">
      <c r="A309" t="s">
        <v>1515</v>
      </c>
      <c r="B309" t="str">
        <f t="shared" si="8"/>
        <v>inclusive </v>
      </c>
      <c r="F309" s="64" t="s">
        <v>1894</v>
      </c>
      <c r="G309" t="str">
        <f t="shared" si="9"/>
        <v>knowledge exchange</v>
      </c>
      <c r="H309" t="s">
        <v>1894</v>
      </c>
      <c r="L309" t="s">
        <v>1700</v>
      </c>
    </row>
    <row r="310" spans="1:12">
      <c r="A310" t="s">
        <v>1732</v>
      </c>
      <c r="B310" t="str">
        <f t="shared" si="8"/>
        <v>income </v>
      </c>
      <c r="F310" s="64" t="s">
        <v>1698</v>
      </c>
      <c r="G310" t="str">
        <f t="shared" si="9"/>
        <v>knowledge transfer</v>
      </c>
      <c r="H310" t="s">
        <v>1698</v>
      </c>
      <c r="L310" t="s">
        <v>1698</v>
      </c>
    </row>
    <row r="311" spans="1:12">
      <c r="A311" t="s">
        <v>516</v>
      </c>
      <c r="B311" t="str">
        <f t="shared" si="8"/>
        <v>indigenous</v>
      </c>
      <c r="F311" s="64" t="s">
        <v>1445</v>
      </c>
      <c r="G311" t="str">
        <f t="shared" si="9"/>
        <v>knowledge</v>
      </c>
      <c r="H311" t="s">
        <v>1445</v>
      </c>
      <c r="L311" t="s">
        <v>527</v>
      </c>
    </row>
    <row r="312" spans="1:12">
      <c r="A312" t="s">
        <v>648</v>
      </c>
      <c r="B312" t="str">
        <f t="shared" si="8"/>
        <v>indigenous breed</v>
      </c>
      <c r="F312" s="64" t="s">
        <v>511</v>
      </c>
      <c r="G312" t="str">
        <f t="shared" si="9"/>
        <v>labor</v>
      </c>
      <c r="H312" t="s">
        <v>511</v>
      </c>
      <c r="L312" t="s">
        <v>511</v>
      </c>
    </row>
    <row r="313" spans="1:12">
      <c r="A313" t="s">
        <v>648</v>
      </c>
      <c r="B313" t="str">
        <f t="shared" si="8"/>
        <v>indigenous breed</v>
      </c>
      <c r="F313" s="64" t="s">
        <v>511</v>
      </c>
      <c r="G313" t="str">
        <f t="shared" si="9"/>
        <v>labor</v>
      </c>
      <c r="H313" t="s">
        <v>511</v>
      </c>
      <c r="L313" t="s">
        <v>511</v>
      </c>
    </row>
    <row r="314" spans="1:12">
      <c r="A314" t="s">
        <v>1551</v>
      </c>
      <c r="B314" t="str">
        <f t="shared" si="8"/>
        <v>indigenous breed </v>
      </c>
      <c r="F314" s="64" t="s">
        <v>1190</v>
      </c>
      <c r="G314" t="str">
        <f t="shared" si="9"/>
        <v>labor</v>
      </c>
      <c r="H314" t="s">
        <v>1190</v>
      </c>
      <c r="L314" t="s">
        <v>511</v>
      </c>
    </row>
    <row r="315" spans="1:12">
      <c r="A315" t="s">
        <v>539</v>
      </c>
      <c r="B315" t="str">
        <f t="shared" si="8"/>
        <v>indigenous crops</v>
      </c>
      <c r="F315" s="64" t="s">
        <v>1190</v>
      </c>
      <c r="G315" t="str">
        <f t="shared" si="9"/>
        <v>labor</v>
      </c>
      <c r="H315" t="s">
        <v>1190</v>
      </c>
      <c r="L315" t="s">
        <v>511</v>
      </c>
    </row>
    <row r="316" spans="1:12">
      <c r="A316" t="s">
        <v>539</v>
      </c>
      <c r="B316" t="str">
        <f t="shared" si="8"/>
        <v>indigenous crops</v>
      </c>
      <c r="F316" s="64" t="s">
        <v>1688</v>
      </c>
      <c r="G316" t="str">
        <f t="shared" si="9"/>
        <v>labour</v>
      </c>
      <c r="H316" t="s">
        <v>1688</v>
      </c>
      <c r="L316" t="s">
        <v>1688</v>
      </c>
    </row>
    <row r="317" spans="1:12">
      <c r="A317" t="s">
        <v>1530</v>
      </c>
      <c r="B317" t="str">
        <f t="shared" si="8"/>
        <v>indigenous crops </v>
      </c>
      <c r="F317" s="65" t="s">
        <v>1895</v>
      </c>
      <c r="G317" t="str">
        <f t="shared" si="9"/>
        <v>land races</v>
      </c>
      <c r="H317" t="s">
        <v>1895</v>
      </c>
      <c r="L317" t="s">
        <v>2057</v>
      </c>
    </row>
    <row r="318" spans="1:12">
      <c r="A318" t="s">
        <v>534</v>
      </c>
      <c r="B318" t="str">
        <f t="shared" si="8"/>
        <v>indigenous knowledge</v>
      </c>
      <c r="F318" s="64" t="s">
        <v>1896</v>
      </c>
      <c r="G318" t="str">
        <f t="shared" si="9"/>
        <v>land tenure</v>
      </c>
      <c r="H318" t="s">
        <v>1896</v>
      </c>
      <c r="L318" t="s">
        <v>2058</v>
      </c>
    </row>
    <row r="319" spans="1:12">
      <c r="A319" t="s">
        <v>1453</v>
      </c>
      <c r="B319" t="str">
        <f t="shared" si="8"/>
        <v>indigenous knowledge </v>
      </c>
      <c r="F319" s="64" t="s">
        <v>1657</v>
      </c>
      <c r="G319" t="str">
        <f t="shared" si="9"/>
        <v>land use diversity</v>
      </c>
      <c r="H319" t="s">
        <v>1657</v>
      </c>
      <c r="L319" t="s">
        <v>1657</v>
      </c>
    </row>
    <row r="320" spans="1:12">
      <c r="A320" t="s">
        <v>1195</v>
      </c>
      <c r="B320" t="str">
        <f t="shared" si="8"/>
        <v>indigenous </v>
      </c>
      <c r="F320" s="64" t="s">
        <v>1897</v>
      </c>
      <c r="G320" t="str">
        <f t="shared" si="9"/>
        <v>land use diversity</v>
      </c>
      <c r="H320" t="s">
        <v>1897</v>
      </c>
      <c r="L320" t="s">
        <v>1657</v>
      </c>
    </row>
    <row r="321" spans="1:12">
      <c r="A321" t="s">
        <v>1681</v>
      </c>
      <c r="B321" t="str">
        <f t="shared" si="8"/>
        <v>inequity</v>
      </c>
      <c r="F321" s="64" t="s">
        <v>1623</v>
      </c>
      <c r="G321" t="str">
        <f t="shared" si="9"/>
        <v>landraces</v>
      </c>
      <c r="H321" t="s">
        <v>1623</v>
      </c>
      <c r="L321" t="s">
        <v>1623</v>
      </c>
    </row>
    <row r="322" spans="1:12">
      <c r="A322" t="s">
        <v>470</v>
      </c>
      <c r="B322" t="str">
        <f t="shared" ref="B322:B385" si="10">LOWER(A322)</f>
        <v>infiltration rate</v>
      </c>
      <c r="F322" s="64" t="s">
        <v>630</v>
      </c>
      <c r="G322" t="str">
        <f t="shared" ref="G322:G385" si="11">TRIM(SUBSTITUTE(F322,CHAR(160)," "))</f>
        <v>landscape</v>
      </c>
      <c r="H322" t="s">
        <v>630</v>
      </c>
      <c r="L322" t="s">
        <v>630</v>
      </c>
    </row>
    <row r="323" spans="1:12">
      <c r="A323" t="s">
        <v>894</v>
      </c>
      <c r="B323" t="str">
        <f t="shared" si="10"/>
        <v>information</v>
      </c>
      <c r="F323" s="64" t="s">
        <v>1382</v>
      </c>
      <c r="G323" t="str">
        <f t="shared" si="11"/>
        <v>landscape</v>
      </c>
      <c r="H323" t="s">
        <v>1382</v>
      </c>
      <c r="L323" t="s">
        <v>630</v>
      </c>
    </row>
    <row r="324" spans="1:12">
      <c r="A324" t="s">
        <v>1697</v>
      </c>
      <c r="B324" t="str">
        <f t="shared" si="10"/>
        <v>information sharing</v>
      </c>
      <c r="F324" s="64" t="s">
        <v>557</v>
      </c>
      <c r="G324" t="str">
        <f t="shared" si="11"/>
        <v>laws</v>
      </c>
      <c r="H324" t="s">
        <v>557</v>
      </c>
      <c r="L324" t="s">
        <v>557</v>
      </c>
    </row>
    <row r="325" spans="1:12">
      <c r="A325" s="13" t="s">
        <v>1783</v>
      </c>
      <c r="B325" t="str">
        <f t="shared" si="10"/>
        <v>information </v>
      </c>
      <c r="F325" s="64" t="s">
        <v>557</v>
      </c>
      <c r="G325" t="str">
        <f t="shared" si="11"/>
        <v>laws</v>
      </c>
      <c r="H325" t="s">
        <v>557</v>
      </c>
      <c r="L325" t="s">
        <v>557</v>
      </c>
    </row>
    <row r="326" spans="1:12">
      <c r="A326" t="s">
        <v>901</v>
      </c>
      <c r="B326" t="str">
        <f t="shared" si="10"/>
        <v>insects</v>
      </c>
      <c r="F326" s="64" t="s">
        <v>1512</v>
      </c>
      <c r="G326" t="str">
        <f t="shared" si="11"/>
        <v>laws</v>
      </c>
      <c r="H326" t="s">
        <v>1512</v>
      </c>
      <c r="L326" t="s">
        <v>557</v>
      </c>
    </row>
    <row r="327" spans="1:12">
      <c r="A327" t="s">
        <v>901</v>
      </c>
      <c r="B327" t="str">
        <f t="shared" si="10"/>
        <v>insects</v>
      </c>
      <c r="F327" s="64" t="s">
        <v>1512</v>
      </c>
      <c r="G327" t="str">
        <f t="shared" si="11"/>
        <v>laws</v>
      </c>
      <c r="H327" t="s">
        <v>1512</v>
      </c>
      <c r="L327" t="s">
        <v>557</v>
      </c>
    </row>
    <row r="328" spans="1:12">
      <c r="A328" s="55" t="s">
        <v>1282</v>
      </c>
      <c r="B328" t="str">
        <f t="shared" si="10"/>
        <v>insects </v>
      </c>
      <c r="F328" s="64" t="s">
        <v>1696</v>
      </c>
      <c r="G328" t="str">
        <f t="shared" si="11"/>
        <v>learn</v>
      </c>
      <c r="H328" t="s">
        <v>1696</v>
      </c>
      <c r="L328" t="s">
        <v>1696</v>
      </c>
    </row>
    <row r="329" spans="1:12">
      <c r="A329" t="s">
        <v>1245</v>
      </c>
      <c r="B329" t="str">
        <f t="shared" si="10"/>
        <v>insurance </v>
      </c>
      <c r="F329" s="64" t="s">
        <v>529</v>
      </c>
      <c r="G329" t="str">
        <f t="shared" si="11"/>
        <v>learning</v>
      </c>
      <c r="H329" t="s">
        <v>529</v>
      </c>
      <c r="L329" t="s">
        <v>529</v>
      </c>
    </row>
    <row r="330" spans="1:12">
      <c r="A330" t="s">
        <v>624</v>
      </c>
      <c r="B330" t="str">
        <f t="shared" si="10"/>
        <v>integrated</v>
      </c>
      <c r="F330" s="64" t="s">
        <v>1447</v>
      </c>
      <c r="G330" t="str">
        <f t="shared" si="11"/>
        <v>learning</v>
      </c>
      <c r="H330" t="s">
        <v>1447</v>
      </c>
      <c r="L330" t="s">
        <v>529</v>
      </c>
    </row>
    <row r="331" spans="1:12">
      <c r="A331" t="s">
        <v>1424</v>
      </c>
      <c r="B331" t="str">
        <f t="shared" si="10"/>
        <v>integrated crop-livestock</v>
      </c>
      <c r="F331" s="64" t="s">
        <v>635</v>
      </c>
      <c r="G331" t="str">
        <f t="shared" si="11"/>
        <v>leguminous</v>
      </c>
      <c r="H331" t="s">
        <v>635</v>
      </c>
      <c r="L331" t="s">
        <v>635</v>
      </c>
    </row>
    <row r="332" spans="1:12">
      <c r="A332" t="s">
        <v>1393</v>
      </c>
      <c r="B332" t="str">
        <f t="shared" si="10"/>
        <v>integrated crop-livestock </v>
      </c>
      <c r="F332" s="64" t="s">
        <v>1568</v>
      </c>
      <c r="G332" t="str">
        <f t="shared" si="11"/>
        <v>leguminous</v>
      </c>
      <c r="H332" t="s">
        <v>1568</v>
      </c>
      <c r="L332" t="s">
        <v>635</v>
      </c>
    </row>
    <row r="333" spans="1:12">
      <c r="A333" t="s">
        <v>1426</v>
      </c>
      <c r="B333" t="str">
        <f t="shared" si="10"/>
        <v>integrated pest management</v>
      </c>
      <c r="F333" s="64" t="s">
        <v>1691</v>
      </c>
      <c r="G333" t="str">
        <f t="shared" si="11"/>
        <v>livelihood</v>
      </c>
      <c r="H333" t="s">
        <v>1691</v>
      </c>
      <c r="L333" t="s">
        <v>1691</v>
      </c>
    </row>
    <row r="334" spans="1:12">
      <c r="A334" t="s">
        <v>1398</v>
      </c>
      <c r="B334" t="str">
        <f t="shared" si="10"/>
        <v>integrated pest management </v>
      </c>
      <c r="F334" s="64" t="s">
        <v>1898</v>
      </c>
      <c r="G334" t="str">
        <f t="shared" si="11"/>
        <v>loan</v>
      </c>
      <c r="H334" t="s">
        <v>1898</v>
      </c>
      <c r="L334" t="s">
        <v>2059</v>
      </c>
    </row>
    <row r="335" spans="1:12">
      <c r="A335" t="s">
        <v>1376</v>
      </c>
      <c r="B335" t="str">
        <f t="shared" si="10"/>
        <v>integrated </v>
      </c>
      <c r="F335" s="66" t="s">
        <v>1617</v>
      </c>
      <c r="G335" t="str">
        <f t="shared" si="11"/>
        <v>local exchange</v>
      </c>
      <c r="H335" t="s">
        <v>1617</v>
      </c>
      <c r="L335" t="s">
        <v>1617</v>
      </c>
    </row>
    <row r="336" spans="1:12">
      <c r="A336" t="s">
        <v>1423</v>
      </c>
      <c r="B336" t="str">
        <f t="shared" si="10"/>
        <v>integration</v>
      </c>
      <c r="F336" s="65" t="s">
        <v>1899</v>
      </c>
      <c r="G336" t="str">
        <f t="shared" si="11"/>
        <v>local exchange</v>
      </c>
      <c r="H336" t="s">
        <v>1899</v>
      </c>
      <c r="L336" t="s">
        <v>1617</v>
      </c>
    </row>
    <row r="337" spans="1:12">
      <c r="A337" t="s">
        <v>1397</v>
      </c>
      <c r="B337" t="str">
        <f t="shared" si="10"/>
        <v>integration </v>
      </c>
      <c r="F337" s="64" t="s">
        <v>1900</v>
      </c>
      <c r="G337" t="str">
        <f t="shared" si="11"/>
        <v>local food system</v>
      </c>
      <c r="H337" t="s">
        <v>1900</v>
      </c>
      <c r="L337" t="s">
        <v>2060</v>
      </c>
    </row>
    <row r="338" spans="1:12">
      <c r="A338" t="s">
        <v>519</v>
      </c>
      <c r="B338" t="str">
        <f t="shared" si="10"/>
        <v>intellectual property</v>
      </c>
      <c r="F338" s="66" t="s">
        <v>1683</v>
      </c>
      <c r="G338" t="str">
        <f t="shared" si="11"/>
        <v>local markets</v>
      </c>
      <c r="H338" t="s">
        <v>1683</v>
      </c>
      <c r="L338" t="s">
        <v>1683</v>
      </c>
    </row>
    <row r="339" spans="1:12">
      <c r="A339" t="s">
        <v>556</v>
      </c>
      <c r="B339" t="str">
        <f t="shared" si="10"/>
        <v>intellectual property rights</v>
      </c>
      <c r="F339" s="64" t="s">
        <v>1901</v>
      </c>
      <c r="G339" t="str">
        <f t="shared" si="11"/>
        <v>local producer markets</v>
      </c>
      <c r="H339" t="s">
        <v>1901</v>
      </c>
      <c r="L339" t="s">
        <v>2061</v>
      </c>
    </row>
    <row r="340" spans="1:12">
      <c r="A340" t="s">
        <v>1511</v>
      </c>
      <c r="B340" t="str">
        <f t="shared" si="10"/>
        <v>intellectual property rights </v>
      </c>
      <c r="F340" s="64" t="s">
        <v>1618</v>
      </c>
      <c r="G340" t="str">
        <f t="shared" si="11"/>
        <v>local seed</v>
      </c>
      <c r="H340" t="s">
        <v>1618</v>
      </c>
      <c r="L340" t="s">
        <v>1618</v>
      </c>
    </row>
    <row r="341" spans="1:12">
      <c r="A341" t="s">
        <v>1198</v>
      </c>
      <c r="B341" t="str">
        <f t="shared" si="10"/>
        <v>intellectual property </v>
      </c>
      <c r="F341" s="65" t="s">
        <v>1902</v>
      </c>
      <c r="G341" t="str">
        <f t="shared" si="11"/>
        <v>local seed system</v>
      </c>
      <c r="H341" t="s">
        <v>1902</v>
      </c>
      <c r="L341" t="s">
        <v>2062</v>
      </c>
    </row>
    <row r="342" spans="1:12">
      <c r="A342" t="s">
        <v>621</v>
      </c>
      <c r="B342" t="str">
        <f t="shared" si="10"/>
        <v>intercropping</v>
      </c>
      <c r="F342" s="64" t="s">
        <v>1624</v>
      </c>
      <c r="G342" t="str">
        <f t="shared" si="11"/>
        <v>local seed systems</v>
      </c>
      <c r="H342" t="s">
        <v>1624</v>
      </c>
      <c r="L342" t="s">
        <v>1624</v>
      </c>
    </row>
    <row r="343" spans="1:12">
      <c r="A343" t="s">
        <v>621</v>
      </c>
      <c r="B343" t="str">
        <f t="shared" si="10"/>
        <v>intercropping</v>
      </c>
      <c r="F343" s="65" t="s">
        <v>1903</v>
      </c>
      <c r="G343" t="str">
        <f t="shared" si="11"/>
        <v>local seed</v>
      </c>
      <c r="H343" t="s">
        <v>1903</v>
      </c>
      <c r="L343" t="s">
        <v>1618</v>
      </c>
    </row>
    <row r="344" spans="1:12">
      <c r="A344" t="s">
        <v>621</v>
      </c>
      <c r="B344" t="str">
        <f t="shared" si="10"/>
        <v>intercropping</v>
      </c>
      <c r="F344" s="64" t="s">
        <v>1619</v>
      </c>
      <c r="G344" t="str">
        <f t="shared" si="11"/>
        <v>local varieties</v>
      </c>
      <c r="H344" t="s">
        <v>1619</v>
      </c>
      <c r="L344" t="s">
        <v>1619</v>
      </c>
    </row>
    <row r="345" spans="1:12">
      <c r="A345" t="s">
        <v>1373</v>
      </c>
      <c r="B345" t="str">
        <f t="shared" si="10"/>
        <v>intercropping </v>
      </c>
      <c r="F345" s="65" t="s">
        <v>1904</v>
      </c>
      <c r="G345" t="str">
        <f t="shared" si="11"/>
        <v>local varieties</v>
      </c>
      <c r="H345" t="s">
        <v>1904</v>
      </c>
      <c r="L345" t="s">
        <v>1619</v>
      </c>
    </row>
    <row r="346" spans="1:12">
      <c r="A346" s="55" t="s">
        <v>1289</v>
      </c>
      <c r="B346" t="str">
        <f t="shared" si="10"/>
        <v>inter-cropping </v>
      </c>
      <c r="F346" s="64" t="s">
        <v>1709</v>
      </c>
      <c r="G346" t="str">
        <f t="shared" si="11"/>
        <v>localised</v>
      </c>
      <c r="H346" t="s">
        <v>1709</v>
      </c>
      <c r="L346" t="s">
        <v>1709</v>
      </c>
    </row>
    <row r="347" spans="1:12">
      <c r="A347" t="s">
        <v>1733</v>
      </c>
      <c r="B347" t="str">
        <f t="shared" si="10"/>
        <v>interface </v>
      </c>
      <c r="F347" s="64" t="s">
        <v>1625</v>
      </c>
      <c r="G347" t="str">
        <f t="shared" si="11"/>
        <v>locally adapted crops</v>
      </c>
      <c r="H347" t="s">
        <v>1625</v>
      </c>
      <c r="L347" t="s">
        <v>1625</v>
      </c>
    </row>
    <row r="348" spans="1:12">
      <c r="A348" t="s">
        <v>459</v>
      </c>
      <c r="B348" t="str">
        <f t="shared" si="10"/>
        <v>iron</v>
      </c>
      <c r="F348" s="65" t="s">
        <v>1905</v>
      </c>
      <c r="G348" t="str">
        <f t="shared" si="11"/>
        <v>locally adapted crops</v>
      </c>
      <c r="H348" t="s">
        <v>1905</v>
      </c>
      <c r="L348" t="s">
        <v>1625</v>
      </c>
    </row>
    <row r="349" spans="1:12">
      <c r="A349" t="s">
        <v>1734</v>
      </c>
      <c r="B349" t="str">
        <f t="shared" si="10"/>
        <v>job </v>
      </c>
      <c r="F349" s="64" t="s">
        <v>1906</v>
      </c>
      <c r="G349" t="str">
        <f t="shared" si="11"/>
        <v>macro-organism activity</v>
      </c>
      <c r="H349" t="s">
        <v>1906</v>
      </c>
      <c r="L349" t="s">
        <v>1906</v>
      </c>
    </row>
    <row r="350" spans="1:12">
      <c r="A350" t="s">
        <v>553</v>
      </c>
      <c r="B350" t="str">
        <f t="shared" si="10"/>
        <v>just</v>
      </c>
      <c r="F350" s="64" t="s">
        <v>1907</v>
      </c>
      <c r="G350" t="str">
        <f t="shared" si="11"/>
        <v>magnesium</v>
      </c>
      <c r="H350" t="s">
        <v>1907</v>
      </c>
      <c r="L350" t="s">
        <v>1907</v>
      </c>
    </row>
    <row r="351" spans="1:12">
      <c r="A351" t="s">
        <v>553</v>
      </c>
      <c r="B351" t="str">
        <f t="shared" si="10"/>
        <v>just</v>
      </c>
      <c r="F351" s="64" t="s">
        <v>1908</v>
      </c>
      <c r="G351" t="str">
        <f t="shared" si="11"/>
        <v>manganese</v>
      </c>
      <c r="H351" t="s">
        <v>1908</v>
      </c>
      <c r="L351" t="s">
        <v>1908</v>
      </c>
    </row>
    <row r="352" spans="1:12">
      <c r="A352" t="s">
        <v>1508</v>
      </c>
      <c r="B352" t="str">
        <f t="shared" si="10"/>
        <v>just </v>
      </c>
      <c r="F352" s="64" t="s">
        <v>589</v>
      </c>
      <c r="G352" t="str">
        <f t="shared" si="11"/>
        <v>manure</v>
      </c>
      <c r="H352" t="s">
        <v>589</v>
      </c>
      <c r="L352" t="s">
        <v>589</v>
      </c>
    </row>
    <row r="353" spans="1:12">
      <c r="A353" t="s">
        <v>527</v>
      </c>
      <c r="B353" t="str">
        <f t="shared" si="10"/>
        <v>knowledge</v>
      </c>
      <c r="F353" s="65" t="s">
        <v>1343</v>
      </c>
      <c r="G353" t="str">
        <f t="shared" si="11"/>
        <v>manure</v>
      </c>
      <c r="H353" t="s">
        <v>1343</v>
      </c>
      <c r="L353" t="s">
        <v>589</v>
      </c>
    </row>
    <row r="354" spans="1:12">
      <c r="A354" t="s">
        <v>527</v>
      </c>
      <c r="B354" t="str">
        <f t="shared" si="10"/>
        <v>knowledge</v>
      </c>
      <c r="F354" s="64" t="s">
        <v>1776</v>
      </c>
      <c r="G354" t="str">
        <f t="shared" si="11"/>
        <v>marginalised</v>
      </c>
      <c r="H354" t="s">
        <v>1776</v>
      </c>
      <c r="L354" t="s">
        <v>1776</v>
      </c>
    </row>
    <row r="355" spans="1:12">
      <c r="A355" t="s">
        <v>1701</v>
      </c>
      <c r="B355" t="str">
        <f t="shared" si="10"/>
        <v>knowledge co-creation</v>
      </c>
      <c r="F355" s="64" t="s">
        <v>563</v>
      </c>
      <c r="G355" t="str">
        <f t="shared" si="11"/>
        <v>marginalized</v>
      </c>
      <c r="H355" t="s">
        <v>563</v>
      </c>
      <c r="L355" t="s">
        <v>563</v>
      </c>
    </row>
    <row r="356" spans="1:12">
      <c r="A356" t="s">
        <v>1702</v>
      </c>
      <c r="B356" t="str">
        <f t="shared" si="10"/>
        <v>knowledge co-production</v>
      </c>
      <c r="F356" s="64" t="s">
        <v>1519</v>
      </c>
      <c r="G356" t="str">
        <f t="shared" si="11"/>
        <v>marginalized</v>
      </c>
      <c r="H356" t="s">
        <v>1519</v>
      </c>
      <c r="L356" t="s">
        <v>563</v>
      </c>
    </row>
    <row r="357" spans="1:12">
      <c r="A357" t="s">
        <v>1700</v>
      </c>
      <c r="B357" t="str">
        <f t="shared" si="10"/>
        <v>knowledge exchange</v>
      </c>
      <c r="F357" s="64" t="s">
        <v>555</v>
      </c>
      <c r="G357" t="str">
        <f t="shared" si="11"/>
        <v>market</v>
      </c>
      <c r="H357" t="s">
        <v>555</v>
      </c>
      <c r="L357" t="s">
        <v>555</v>
      </c>
    </row>
    <row r="358" spans="1:12">
      <c r="A358" t="s">
        <v>1465</v>
      </c>
      <c r="B358" t="str">
        <f t="shared" si="10"/>
        <v>knowledge exchange </v>
      </c>
      <c r="F358" s="64" t="s">
        <v>1510</v>
      </c>
      <c r="G358" t="str">
        <f t="shared" si="11"/>
        <v>market</v>
      </c>
      <c r="H358" t="s">
        <v>1510</v>
      </c>
      <c r="L358" t="s">
        <v>555</v>
      </c>
    </row>
    <row r="359" spans="1:12">
      <c r="A359" t="s">
        <v>1698</v>
      </c>
      <c r="B359" t="str">
        <f t="shared" si="10"/>
        <v>knowledge transfer</v>
      </c>
      <c r="F359" s="64" t="s">
        <v>506</v>
      </c>
      <c r="G359" t="str">
        <f t="shared" si="11"/>
        <v>markets</v>
      </c>
      <c r="H359" t="s">
        <v>506</v>
      </c>
      <c r="L359" t="s">
        <v>506</v>
      </c>
    </row>
    <row r="360" spans="1:12">
      <c r="A360" t="s">
        <v>1445</v>
      </c>
      <c r="B360" t="str">
        <f t="shared" si="10"/>
        <v>knowledge </v>
      </c>
      <c r="F360" s="64" t="s">
        <v>1185</v>
      </c>
      <c r="G360" t="str">
        <f t="shared" si="11"/>
        <v>markets</v>
      </c>
      <c r="H360" t="s">
        <v>1185</v>
      </c>
      <c r="L360" t="s">
        <v>506</v>
      </c>
    </row>
    <row r="361" spans="1:12">
      <c r="A361" t="s">
        <v>511</v>
      </c>
      <c r="B361" t="str">
        <f t="shared" si="10"/>
        <v>labor</v>
      </c>
      <c r="F361" s="64" t="s">
        <v>651</v>
      </c>
      <c r="G361" t="str">
        <f t="shared" si="11"/>
        <v>matching</v>
      </c>
      <c r="H361" t="s">
        <v>651</v>
      </c>
      <c r="L361" t="s">
        <v>651</v>
      </c>
    </row>
    <row r="362" spans="1:12">
      <c r="A362" t="s">
        <v>511</v>
      </c>
      <c r="B362" t="str">
        <f t="shared" si="10"/>
        <v>labor</v>
      </c>
      <c r="F362" s="64" t="s">
        <v>1554</v>
      </c>
      <c r="G362" t="str">
        <f t="shared" si="11"/>
        <v>matching</v>
      </c>
      <c r="H362" t="s">
        <v>1554</v>
      </c>
      <c r="L362" t="s">
        <v>651</v>
      </c>
    </row>
    <row r="363" spans="1:12">
      <c r="A363" t="s">
        <v>511</v>
      </c>
      <c r="B363" t="str">
        <f t="shared" si="10"/>
        <v>labor</v>
      </c>
      <c r="F363" s="64" t="s">
        <v>1687</v>
      </c>
      <c r="G363" t="str">
        <f t="shared" si="11"/>
        <v>meaning</v>
      </c>
      <c r="H363" t="s">
        <v>1687</v>
      </c>
      <c r="L363" t="s">
        <v>1687</v>
      </c>
    </row>
    <row r="364" spans="1:12">
      <c r="A364" t="s">
        <v>1190</v>
      </c>
      <c r="B364" t="str">
        <f t="shared" si="10"/>
        <v>labor </v>
      </c>
      <c r="F364" s="64" t="s">
        <v>588</v>
      </c>
      <c r="G364" t="str">
        <f t="shared" si="11"/>
        <v>microbial</v>
      </c>
      <c r="H364" t="s">
        <v>588</v>
      </c>
      <c r="L364" t="s">
        <v>588</v>
      </c>
    </row>
    <row r="365" spans="1:12">
      <c r="A365" t="s">
        <v>1190</v>
      </c>
      <c r="B365" t="str">
        <f t="shared" si="10"/>
        <v>labor </v>
      </c>
      <c r="F365" s="64" t="s">
        <v>1909</v>
      </c>
      <c r="G365" t="str">
        <f t="shared" si="11"/>
        <v>microbial biomass c and n</v>
      </c>
      <c r="H365" t="s">
        <v>1909</v>
      </c>
      <c r="L365" t="s">
        <v>1909</v>
      </c>
    </row>
    <row r="366" spans="1:12">
      <c r="A366" t="s">
        <v>1688</v>
      </c>
      <c r="B366" t="str">
        <f t="shared" si="10"/>
        <v>labour</v>
      </c>
      <c r="F366" s="64" t="s">
        <v>1910</v>
      </c>
      <c r="G366" t="str">
        <f t="shared" si="11"/>
        <v>microbial respiration rate</v>
      </c>
      <c r="H366" t="s">
        <v>1910</v>
      </c>
      <c r="L366" t="s">
        <v>1910</v>
      </c>
    </row>
    <row r="367" spans="1:12">
      <c r="A367" s="55" t="s">
        <v>1305</v>
      </c>
      <c r="B367" t="str">
        <f t="shared" si="10"/>
        <v>land races </v>
      </c>
      <c r="F367" s="65" t="s">
        <v>1344</v>
      </c>
      <c r="G367" t="str">
        <f t="shared" si="11"/>
        <v>microbial</v>
      </c>
      <c r="H367" t="s">
        <v>1344</v>
      </c>
      <c r="L367" t="s">
        <v>588</v>
      </c>
    </row>
    <row r="368" spans="1:12">
      <c r="A368" t="s">
        <v>1735</v>
      </c>
      <c r="B368" t="str">
        <f t="shared" si="10"/>
        <v>land tenure </v>
      </c>
      <c r="F368" s="64" t="s">
        <v>1911</v>
      </c>
      <c r="G368" t="str">
        <f t="shared" si="11"/>
        <v>micro-organism activity</v>
      </c>
      <c r="H368" t="s">
        <v>1911</v>
      </c>
      <c r="L368" t="s">
        <v>1911</v>
      </c>
    </row>
    <row r="369" spans="1:12">
      <c r="A369" t="s">
        <v>1657</v>
      </c>
      <c r="B369" t="str">
        <f t="shared" si="10"/>
        <v>land use diversity</v>
      </c>
      <c r="F369" s="65" t="s">
        <v>1912</v>
      </c>
      <c r="G369" t="str">
        <f t="shared" si="11"/>
        <v>minimum till</v>
      </c>
      <c r="H369" t="s">
        <v>1912</v>
      </c>
      <c r="L369" t="s">
        <v>2063</v>
      </c>
    </row>
    <row r="370" spans="1:12">
      <c r="A370" t="s">
        <v>1280</v>
      </c>
      <c r="B370" t="str">
        <f t="shared" si="10"/>
        <v>land use diversity </v>
      </c>
      <c r="F370" s="66" t="s">
        <v>1642</v>
      </c>
      <c r="G370" t="str">
        <f t="shared" si="11"/>
        <v>minimum-till</v>
      </c>
      <c r="H370" t="s">
        <v>1642</v>
      </c>
      <c r="L370" t="s">
        <v>1642</v>
      </c>
    </row>
    <row r="371" spans="1:12">
      <c r="A371" t="s">
        <v>1623</v>
      </c>
      <c r="B371" t="str">
        <f t="shared" si="10"/>
        <v>landraces</v>
      </c>
      <c r="F371" s="64" t="s">
        <v>622</v>
      </c>
      <c r="G371" t="str">
        <f t="shared" si="11"/>
        <v>mixed</v>
      </c>
      <c r="H371" t="s">
        <v>622</v>
      </c>
      <c r="L371" t="s">
        <v>622</v>
      </c>
    </row>
    <row r="372" spans="1:12">
      <c r="A372" t="s">
        <v>630</v>
      </c>
      <c r="B372" t="str">
        <f t="shared" si="10"/>
        <v>landscape</v>
      </c>
      <c r="F372" s="64" t="s">
        <v>1374</v>
      </c>
      <c r="G372" t="str">
        <f t="shared" si="11"/>
        <v>mixed</v>
      </c>
      <c r="H372" t="s">
        <v>1374</v>
      </c>
      <c r="L372" t="s">
        <v>622</v>
      </c>
    </row>
    <row r="373" spans="1:12">
      <c r="A373" t="s">
        <v>1382</v>
      </c>
      <c r="B373" t="str">
        <f t="shared" si="10"/>
        <v>landscape </v>
      </c>
      <c r="F373" s="66" t="s">
        <v>1641</v>
      </c>
      <c r="G373" t="str">
        <f t="shared" si="11"/>
        <v>mulch</v>
      </c>
      <c r="H373" t="s">
        <v>1641</v>
      </c>
      <c r="L373" t="s">
        <v>1641</v>
      </c>
    </row>
    <row r="374" spans="1:12">
      <c r="A374" t="s">
        <v>557</v>
      </c>
      <c r="B374" t="str">
        <f t="shared" si="10"/>
        <v>laws</v>
      </c>
      <c r="F374" s="64" t="s">
        <v>1641</v>
      </c>
      <c r="G374" t="str">
        <f t="shared" si="11"/>
        <v>mulch</v>
      </c>
      <c r="H374" t="s">
        <v>1641</v>
      </c>
      <c r="L374" t="s">
        <v>1641</v>
      </c>
    </row>
    <row r="375" spans="1:12">
      <c r="A375" t="s">
        <v>557</v>
      </c>
      <c r="B375" t="str">
        <f t="shared" si="10"/>
        <v>laws</v>
      </c>
      <c r="F375" s="65" t="s">
        <v>1354</v>
      </c>
      <c r="G375" t="str">
        <f t="shared" si="11"/>
        <v>mulch</v>
      </c>
      <c r="H375" t="s">
        <v>1354</v>
      </c>
      <c r="L375" t="s">
        <v>1641</v>
      </c>
    </row>
    <row r="376" spans="1:12">
      <c r="A376" t="s">
        <v>1512</v>
      </c>
      <c r="B376" t="str">
        <f t="shared" si="10"/>
        <v>laws </v>
      </c>
      <c r="F376" s="64" t="s">
        <v>1354</v>
      </c>
      <c r="G376" t="str">
        <f t="shared" si="11"/>
        <v>mulch</v>
      </c>
      <c r="H376" t="s">
        <v>1354</v>
      </c>
      <c r="L376" t="s">
        <v>1641</v>
      </c>
    </row>
    <row r="377" spans="1:12">
      <c r="A377" t="s">
        <v>1512</v>
      </c>
      <c r="B377" t="str">
        <f t="shared" si="10"/>
        <v>laws </v>
      </c>
      <c r="F377" s="64" t="s">
        <v>596</v>
      </c>
      <c r="G377" t="str">
        <f t="shared" si="11"/>
        <v>mulching</v>
      </c>
      <c r="H377" t="s">
        <v>596</v>
      </c>
      <c r="L377" t="s">
        <v>596</v>
      </c>
    </row>
    <row r="378" spans="1:12">
      <c r="A378" t="s">
        <v>1696</v>
      </c>
      <c r="B378" t="str">
        <f t="shared" si="10"/>
        <v>learn</v>
      </c>
      <c r="F378" s="64" t="s">
        <v>1706</v>
      </c>
      <c r="G378" t="str">
        <f t="shared" si="11"/>
        <v>multi-stakeholder</v>
      </c>
      <c r="H378" t="s">
        <v>1706</v>
      </c>
      <c r="L378" t="s">
        <v>1706</v>
      </c>
    </row>
    <row r="379" spans="1:12">
      <c r="A379" t="s">
        <v>529</v>
      </c>
      <c r="B379" t="str">
        <f t="shared" si="10"/>
        <v>learning</v>
      </c>
      <c r="F379" s="64" t="s">
        <v>1913</v>
      </c>
      <c r="G379" t="str">
        <f t="shared" si="11"/>
        <v>multi-stakeholder</v>
      </c>
      <c r="H379" t="s">
        <v>1913</v>
      </c>
      <c r="L379" t="s">
        <v>1706</v>
      </c>
    </row>
    <row r="380" spans="1:12">
      <c r="A380" t="s">
        <v>529</v>
      </c>
      <c r="B380" t="str">
        <f t="shared" si="10"/>
        <v>learning</v>
      </c>
      <c r="F380" s="64" t="s">
        <v>1914</v>
      </c>
      <c r="G380" t="str">
        <f t="shared" si="11"/>
        <v>mult-stakeholder</v>
      </c>
      <c r="H380" t="s">
        <v>1914</v>
      </c>
      <c r="L380" t="s">
        <v>2064</v>
      </c>
    </row>
    <row r="381" spans="1:12">
      <c r="A381" t="s">
        <v>1447</v>
      </c>
      <c r="B381" t="str">
        <f t="shared" si="10"/>
        <v>learning </v>
      </c>
      <c r="F381" s="64" t="s">
        <v>1626</v>
      </c>
      <c r="G381" t="str">
        <f t="shared" si="11"/>
        <v>native species</v>
      </c>
      <c r="H381" t="s">
        <v>1626</v>
      </c>
      <c r="L381" t="s">
        <v>1626</v>
      </c>
    </row>
    <row r="382" spans="1:12">
      <c r="A382" t="s">
        <v>635</v>
      </c>
      <c r="B382" t="str">
        <f t="shared" si="10"/>
        <v>leguminous</v>
      </c>
      <c r="F382" s="65" t="s">
        <v>1915</v>
      </c>
      <c r="G382" t="str">
        <f t="shared" si="11"/>
        <v>native species</v>
      </c>
      <c r="H382" t="s">
        <v>1915</v>
      </c>
      <c r="L382" t="s">
        <v>1626</v>
      </c>
    </row>
    <row r="383" spans="1:12">
      <c r="A383" t="s">
        <v>635</v>
      </c>
      <c r="B383" t="str">
        <f t="shared" si="10"/>
        <v>leguminous</v>
      </c>
      <c r="F383" s="64" t="s">
        <v>665</v>
      </c>
      <c r="G383" t="str">
        <f t="shared" si="11"/>
        <v>natural</v>
      </c>
      <c r="H383" t="s">
        <v>2031</v>
      </c>
      <c r="L383" t="s">
        <v>2031</v>
      </c>
    </row>
    <row r="384" spans="1:12">
      <c r="A384" t="s">
        <v>1568</v>
      </c>
      <c r="B384" t="str">
        <f t="shared" si="10"/>
        <v>leguminous </v>
      </c>
      <c r="F384" s="64" t="s">
        <v>637</v>
      </c>
      <c r="G384" t="str">
        <f t="shared" si="11"/>
        <v>natural control</v>
      </c>
      <c r="H384" t="s">
        <v>637</v>
      </c>
      <c r="L384" t="s">
        <v>637</v>
      </c>
    </row>
    <row r="385" spans="1:12">
      <c r="A385" t="s">
        <v>1691</v>
      </c>
      <c r="B385" t="str">
        <f t="shared" si="10"/>
        <v>livelihood</v>
      </c>
      <c r="F385" s="64" t="s">
        <v>1570</v>
      </c>
      <c r="G385" t="str">
        <f t="shared" si="11"/>
        <v>natural control</v>
      </c>
      <c r="H385" t="s">
        <v>1570</v>
      </c>
      <c r="L385" t="s">
        <v>637</v>
      </c>
    </row>
    <row r="386" spans="1:12">
      <c r="A386" t="s">
        <v>1244</v>
      </c>
      <c r="B386" t="str">
        <f t="shared" ref="B386:B449" si="12">LOWER(A386)</f>
        <v>loan </v>
      </c>
      <c r="F386" s="64" t="s">
        <v>1916</v>
      </c>
      <c r="G386" t="str">
        <f t="shared" ref="G386:G449" si="13">TRIM(SUBSTITUTE(F386,CHAR(160)," "))</f>
        <v>natural enemies</v>
      </c>
      <c r="H386" t="s">
        <v>1916</v>
      </c>
      <c r="L386" t="s">
        <v>1916</v>
      </c>
    </row>
    <row r="387" spans="1:12">
      <c r="A387" s="35" t="s">
        <v>1617</v>
      </c>
      <c r="B387" t="str">
        <f t="shared" si="12"/>
        <v>local exchange</v>
      </c>
      <c r="F387" s="64" t="s">
        <v>1917</v>
      </c>
      <c r="G387" t="str">
        <f t="shared" si="13"/>
        <v>natural enemies</v>
      </c>
      <c r="H387" t="s">
        <v>1917</v>
      </c>
      <c r="L387" t="s">
        <v>1916</v>
      </c>
    </row>
    <row r="388" spans="1:12">
      <c r="A388" s="55" t="s">
        <v>1755</v>
      </c>
      <c r="B388" t="str">
        <f t="shared" si="12"/>
        <v>local exchange </v>
      </c>
      <c r="F388" s="64" t="s">
        <v>1918</v>
      </c>
      <c r="G388" t="str">
        <f t="shared" si="13"/>
        <v>natural habitat</v>
      </c>
      <c r="H388" t="s">
        <v>1918</v>
      </c>
      <c r="L388" t="s">
        <v>1918</v>
      </c>
    </row>
    <row r="389" spans="1:12">
      <c r="A389" t="s">
        <v>1736</v>
      </c>
      <c r="B389" t="str">
        <f t="shared" si="12"/>
        <v>local food system </v>
      </c>
      <c r="F389" s="64" t="s">
        <v>1919</v>
      </c>
      <c r="G389" t="str">
        <f t="shared" si="13"/>
        <v>natural habitat</v>
      </c>
      <c r="H389" t="s">
        <v>1919</v>
      </c>
      <c r="L389" t="s">
        <v>1918</v>
      </c>
    </row>
    <row r="390" spans="1:12">
      <c r="A390" s="35" t="s">
        <v>1683</v>
      </c>
      <c r="B390" t="str">
        <f t="shared" si="12"/>
        <v>local markets</v>
      </c>
      <c r="F390" s="64" t="s">
        <v>1651</v>
      </c>
      <c r="G390" t="str">
        <f t="shared" si="13"/>
        <v>natural pollinators</v>
      </c>
      <c r="H390" t="s">
        <v>1651</v>
      </c>
      <c r="L390" t="s">
        <v>1651</v>
      </c>
    </row>
    <row r="391" spans="1:12">
      <c r="A391" t="s">
        <v>1737</v>
      </c>
      <c r="B391" t="str">
        <f t="shared" si="12"/>
        <v>local producer markets </v>
      </c>
      <c r="F391" s="65" t="s">
        <v>1920</v>
      </c>
      <c r="G391" t="str">
        <f t="shared" si="13"/>
        <v>natural pollinators</v>
      </c>
      <c r="H391" t="s">
        <v>1920</v>
      </c>
      <c r="L391" t="s">
        <v>1651</v>
      </c>
    </row>
    <row r="392" spans="1:12">
      <c r="A392" t="s">
        <v>1618</v>
      </c>
      <c r="B392" t="str">
        <f t="shared" si="12"/>
        <v>local seed</v>
      </c>
      <c r="F392" s="64" t="s">
        <v>662</v>
      </c>
      <c r="G392" t="str">
        <f t="shared" si="13"/>
        <v>natural predators</v>
      </c>
      <c r="H392" t="s">
        <v>662</v>
      </c>
      <c r="L392" t="s">
        <v>662</v>
      </c>
    </row>
    <row r="393" spans="1:12">
      <c r="A393" s="55" t="s">
        <v>1306</v>
      </c>
      <c r="B393" t="str">
        <f t="shared" si="12"/>
        <v>local seed system </v>
      </c>
      <c r="F393" s="65" t="s">
        <v>1291</v>
      </c>
      <c r="G393" t="str">
        <f t="shared" si="13"/>
        <v>natural predators</v>
      </c>
      <c r="H393" t="s">
        <v>1291</v>
      </c>
      <c r="L393" t="s">
        <v>662</v>
      </c>
    </row>
    <row r="394" spans="1:12">
      <c r="A394" t="s">
        <v>1624</v>
      </c>
      <c r="B394" t="str">
        <f t="shared" si="12"/>
        <v>local seed systems</v>
      </c>
      <c r="F394" s="64" t="s">
        <v>1627</v>
      </c>
      <c r="G394" t="str">
        <f t="shared" si="13"/>
        <v>neglected crops</v>
      </c>
      <c r="H394" t="s">
        <v>1627</v>
      </c>
      <c r="L394" t="s">
        <v>1627</v>
      </c>
    </row>
    <row r="395" spans="1:12">
      <c r="A395" s="55" t="s">
        <v>1756</v>
      </c>
      <c r="B395" t="str">
        <f t="shared" si="12"/>
        <v>local seed </v>
      </c>
      <c r="F395" s="65" t="s">
        <v>1921</v>
      </c>
      <c r="G395" t="str">
        <f t="shared" si="13"/>
        <v>neglected crops </v>
      </c>
      <c r="H395" t="s">
        <v>1921</v>
      </c>
      <c r="L395" t="s">
        <v>2065</v>
      </c>
    </row>
    <row r="396" spans="1:12">
      <c r="A396" t="s">
        <v>1619</v>
      </c>
      <c r="B396" t="str">
        <f t="shared" si="12"/>
        <v>local varieties</v>
      </c>
      <c r="F396" s="64" t="s">
        <v>1793</v>
      </c>
      <c r="G396" t="str">
        <f t="shared" si="13"/>
        <v>nematode</v>
      </c>
      <c r="H396" t="s">
        <v>1793</v>
      </c>
      <c r="L396" t="s">
        <v>1793</v>
      </c>
    </row>
    <row r="397" spans="1:12">
      <c r="A397" s="55" t="s">
        <v>1757</v>
      </c>
      <c r="B397" t="str">
        <f t="shared" si="12"/>
        <v>local varieties </v>
      </c>
      <c r="F397" s="64" t="s">
        <v>552</v>
      </c>
      <c r="G397" t="str">
        <f t="shared" si="13"/>
        <v>network</v>
      </c>
      <c r="H397" t="s">
        <v>552</v>
      </c>
      <c r="L397" t="s">
        <v>552</v>
      </c>
    </row>
    <row r="398" spans="1:12">
      <c r="A398" t="s">
        <v>1709</v>
      </c>
      <c r="B398" t="str">
        <f t="shared" si="12"/>
        <v>localised</v>
      </c>
      <c r="F398" s="64" t="s">
        <v>1507</v>
      </c>
      <c r="G398" t="str">
        <f t="shared" si="13"/>
        <v>network</v>
      </c>
      <c r="H398" t="s">
        <v>1507</v>
      </c>
      <c r="L398" t="s">
        <v>552</v>
      </c>
    </row>
    <row r="399" spans="1:12">
      <c r="A399" t="s">
        <v>1625</v>
      </c>
      <c r="B399" t="str">
        <f t="shared" si="12"/>
        <v>locally adapted crops</v>
      </c>
      <c r="F399" s="64" t="s">
        <v>1507</v>
      </c>
      <c r="G399" t="str">
        <f t="shared" si="13"/>
        <v>network</v>
      </c>
      <c r="H399" t="s">
        <v>1507</v>
      </c>
      <c r="L399" t="s">
        <v>552</v>
      </c>
    </row>
    <row r="400" spans="1:12">
      <c r="A400" s="55" t="s">
        <v>1307</v>
      </c>
      <c r="B400" t="str">
        <f t="shared" si="12"/>
        <v>locally adapted crops </v>
      </c>
      <c r="F400" s="64" t="s">
        <v>1922</v>
      </c>
      <c r="G400" t="str">
        <f t="shared" si="13"/>
        <v>nitrate nitrogen</v>
      </c>
      <c r="H400" t="s">
        <v>1922</v>
      </c>
      <c r="L400" t="s">
        <v>1922</v>
      </c>
    </row>
    <row r="401" spans="1:12">
      <c r="A401" t="s">
        <v>495</v>
      </c>
      <c r="B401" t="str">
        <f t="shared" si="12"/>
        <v>macro-organism activity</v>
      </c>
      <c r="F401" s="64" t="s">
        <v>634</v>
      </c>
      <c r="G401" t="str">
        <f t="shared" si="13"/>
        <v>nitrogen fixation</v>
      </c>
      <c r="H401" t="s">
        <v>634</v>
      </c>
      <c r="L401" t="s">
        <v>634</v>
      </c>
    </row>
    <row r="402" spans="1:12">
      <c r="A402" t="s">
        <v>457</v>
      </c>
      <c r="B402" t="str">
        <f t="shared" si="12"/>
        <v>magnesium</v>
      </c>
      <c r="F402" s="64" t="s">
        <v>1567</v>
      </c>
      <c r="G402" t="str">
        <f t="shared" si="13"/>
        <v>nitrogen fixation</v>
      </c>
      <c r="H402" t="s">
        <v>1567</v>
      </c>
      <c r="L402" t="s">
        <v>634</v>
      </c>
    </row>
    <row r="403" spans="1:12">
      <c r="A403" t="s">
        <v>461</v>
      </c>
      <c r="B403" t="str">
        <f t="shared" si="12"/>
        <v>manganese</v>
      </c>
      <c r="F403" s="64" t="s">
        <v>633</v>
      </c>
      <c r="G403" t="str">
        <f t="shared" si="13"/>
        <v>nitrogen fixing</v>
      </c>
      <c r="H403" t="s">
        <v>633</v>
      </c>
      <c r="L403" t="s">
        <v>633</v>
      </c>
    </row>
    <row r="404" spans="1:12">
      <c r="A404" t="s">
        <v>589</v>
      </c>
      <c r="B404" t="str">
        <f t="shared" si="12"/>
        <v>manure</v>
      </c>
      <c r="F404" s="64" t="s">
        <v>1566</v>
      </c>
      <c r="G404" t="str">
        <f t="shared" si="13"/>
        <v>nitrogen fixing</v>
      </c>
      <c r="H404" t="s">
        <v>1566</v>
      </c>
      <c r="L404" t="s">
        <v>633</v>
      </c>
    </row>
    <row r="405" spans="1:12">
      <c r="A405" t="s">
        <v>589</v>
      </c>
      <c r="B405" t="str">
        <f t="shared" si="12"/>
        <v>manure</v>
      </c>
      <c r="F405" s="64" t="s">
        <v>1646</v>
      </c>
      <c r="G405" t="str">
        <f t="shared" si="13"/>
        <v>no till</v>
      </c>
      <c r="H405" t="s">
        <v>1646</v>
      </c>
      <c r="L405" t="s">
        <v>1646</v>
      </c>
    </row>
    <row r="406" spans="1:12">
      <c r="A406" s="55" t="s">
        <v>1343</v>
      </c>
      <c r="B406" t="str">
        <f t="shared" si="12"/>
        <v>manure </v>
      </c>
      <c r="F406" s="64" t="s">
        <v>1923</v>
      </c>
      <c r="G406" t="str">
        <f t="shared" si="13"/>
        <v>non-crop plants</v>
      </c>
      <c r="H406" t="s">
        <v>1923</v>
      </c>
      <c r="L406" t="s">
        <v>1923</v>
      </c>
    </row>
    <row r="407" spans="1:12">
      <c r="A407" t="s">
        <v>1776</v>
      </c>
      <c r="B407" t="str">
        <f t="shared" si="12"/>
        <v>marginalised</v>
      </c>
      <c r="F407" s="64" t="s">
        <v>1924</v>
      </c>
      <c r="G407" t="str">
        <f t="shared" si="13"/>
        <v>non-crop plants</v>
      </c>
      <c r="H407" t="s">
        <v>1924</v>
      </c>
      <c r="L407" t="s">
        <v>1923</v>
      </c>
    </row>
    <row r="408" spans="1:12">
      <c r="A408" t="s">
        <v>563</v>
      </c>
      <c r="B408" t="str">
        <f t="shared" si="12"/>
        <v>marginalized</v>
      </c>
      <c r="F408" s="64" t="s">
        <v>1925</v>
      </c>
      <c r="G408" t="str">
        <f t="shared" si="13"/>
        <v>non-farm</v>
      </c>
      <c r="H408" t="s">
        <v>1925</v>
      </c>
      <c r="L408" t="s">
        <v>2066</v>
      </c>
    </row>
    <row r="409" spans="1:12">
      <c r="A409" t="s">
        <v>1519</v>
      </c>
      <c r="B409" t="str">
        <f t="shared" si="12"/>
        <v>marginalized </v>
      </c>
      <c r="F409" s="65" t="s">
        <v>1926</v>
      </c>
      <c r="G409" t="str">
        <f t="shared" si="13"/>
        <v>no-till</v>
      </c>
      <c r="H409" t="s">
        <v>1926</v>
      </c>
      <c r="L409" t="s">
        <v>2067</v>
      </c>
    </row>
    <row r="410" spans="1:12">
      <c r="A410" t="s">
        <v>555</v>
      </c>
      <c r="B410" t="str">
        <f t="shared" si="12"/>
        <v>market</v>
      </c>
      <c r="F410" s="64" t="s">
        <v>571</v>
      </c>
      <c r="G410" t="str">
        <f t="shared" si="13"/>
        <v>nutrient cycling</v>
      </c>
      <c r="H410" t="s">
        <v>571</v>
      </c>
      <c r="L410" t="s">
        <v>571</v>
      </c>
    </row>
    <row r="411" spans="1:12">
      <c r="A411" t="s">
        <v>1510</v>
      </c>
      <c r="B411" t="str">
        <f t="shared" si="12"/>
        <v>market </v>
      </c>
      <c r="F411" s="64" t="s">
        <v>1322</v>
      </c>
      <c r="G411" t="str">
        <f t="shared" si="13"/>
        <v>nutrient cycling</v>
      </c>
      <c r="H411" t="s">
        <v>1322</v>
      </c>
      <c r="L411" t="s">
        <v>571</v>
      </c>
    </row>
    <row r="412" spans="1:12">
      <c r="A412" t="s">
        <v>506</v>
      </c>
      <c r="B412" t="str">
        <f t="shared" si="12"/>
        <v>markets</v>
      </c>
      <c r="F412" s="64" t="s">
        <v>1616</v>
      </c>
      <c r="G412" t="str">
        <f t="shared" si="13"/>
        <v>nutritional diversity</v>
      </c>
      <c r="H412" t="s">
        <v>1616</v>
      </c>
      <c r="L412" t="s">
        <v>1616</v>
      </c>
    </row>
    <row r="413" spans="1:12">
      <c r="A413" t="s">
        <v>1185</v>
      </c>
      <c r="B413" t="str">
        <f t="shared" si="12"/>
        <v>markets </v>
      </c>
      <c r="F413" s="64" t="s">
        <v>1927</v>
      </c>
      <c r="G413" t="str">
        <f t="shared" si="13"/>
        <v>nutritional diversity</v>
      </c>
      <c r="H413" t="s">
        <v>1927</v>
      </c>
      <c r="L413" t="s">
        <v>1616</v>
      </c>
    </row>
    <row r="414" spans="1:12">
      <c r="A414" t="s">
        <v>651</v>
      </c>
      <c r="B414" t="str">
        <f t="shared" si="12"/>
        <v>matching</v>
      </c>
      <c r="F414" s="64" t="s">
        <v>547</v>
      </c>
      <c r="G414" t="str">
        <f t="shared" si="13"/>
        <v>nutritious</v>
      </c>
      <c r="H414" t="s">
        <v>547</v>
      </c>
      <c r="L414" t="s">
        <v>547</v>
      </c>
    </row>
    <row r="415" spans="1:12">
      <c r="A415" t="s">
        <v>651</v>
      </c>
      <c r="B415" t="str">
        <f t="shared" si="12"/>
        <v>matching</v>
      </c>
      <c r="F415" s="64" t="s">
        <v>1538</v>
      </c>
      <c r="G415" t="str">
        <f t="shared" si="13"/>
        <v>nutritious</v>
      </c>
      <c r="H415" t="s">
        <v>1538</v>
      </c>
      <c r="L415" t="s">
        <v>547</v>
      </c>
    </row>
    <row r="416" spans="1:12">
      <c r="A416" t="s">
        <v>1554</v>
      </c>
      <c r="B416" t="str">
        <f t="shared" si="12"/>
        <v>matching </v>
      </c>
      <c r="F416" s="64" t="s">
        <v>1928</v>
      </c>
      <c r="G416" t="str">
        <f t="shared" si="13"/>
        <v>off-farm</v>
      </c>
      <c r="H416" t="s">
        <v>1928</v>
      </c>
      <c r="L416" t="s">
        <v>2068</v>
      </c>
    </row>
    <row r="417" spans="1:12">
      <c r="A417" t="s">
        <v>1687</v>
      </c>
      <c r="B417" t="str">
        <f t="shared" si="12"/>
        <v>meaning</v>
      </c>
      <c r="F417" s="64" t="s">
        <v>1628</v>
      </c>
      <c r="G417" t="str">
        <f t="shared" si="13"/>
        <v>opportunity crops</v>
      </c>
      <c r="H417" t="s">
        <v>1628</v>
      </c>
      <c r="L417" t="s">
        <v>1628</v>
      </c>
    </row>
    <row r="418" spans="1:12">
      <c r="A418" t="s">
        <v>588</v>
      </c>
      <c r="B418" t="str">
        <f t="shared" si="12"/>
        <v>microbial</v>
      </c>
      <c r="F418" s="65" t="s">
        <v>1929</v>
      </c>
      <c r="G418" t="str">
        <f t="shared" si="13"/>
        <v>opportunity crops</v>
      </c>
      <c r="H418" t="s">
        <v>1929</v>
      </c>
      <c r="L418" t="s">
        <v>1628</v>
      </c>
    </row>
    <row r="419" spans="1:12">
      <c r="A419" t="s">
        <v>588</v>
      </c>
      <c r="B419" t="str">
        <f t="shared" si="12"/>
        <v>microbial</v>
      </c>
      <c r="F419" s="64" t="s">
        <v>576</v>
      </c>
      <c r="G419" t="str">
        <f t="shared" si="13"/>
        <v>organic</v>
      </c>
      <c r="H419" t="s">
        <v>576</v>
      </c>
      <c r="L419" t="s">
        <v>576</v>
      </c>
    </row>
    <row r="420" spans="1:12">
      <c r="A420" t="s">
        <v>484</v>
      </c>
      <c r="B420" t="str">
        <f t="shared" si="12"/>
        <v>microbial biomass c and n</v>
      </c>
      <c r="F420" s="64" t="s">
        <v>576</v>
      </c>
      <c r="G420" t="str">
        <f t="shared" si="13"/>
        <v>organic</v>
      </c>
      <c r="H420" t="s">
        <v>576</v>
      </c>
      <c r="L420" t="s">
        <v>576</v>
      </c>
    </row>
    <row r="421" spans="1:12">
      <c r="A421" t="s">
        <v>452</v>
      </c>
      <c r="B421" t="str">
        <f t="shared" si="12"/>
        <v>microbial respiration rate</v>
      </c>
      <c r="F421" s="64" t="s">
        <v>576</v>
      </c>
      <c r="G421" t="str">
        <f t="shared" si="13"/>
        <v>organic</v>
      </c>
      <c r="H421" t="s">
        <v>576</v>
      </c>
      <c r="L421" t="s">
        <v>576</v>
      </c>
    </row>
    <row r="422" spans="1:12">
      <c r="A422" s="55" t="s">
        <v>1344</v>
      </c>
      <c r="B422" t="str">
        <f t="shared" si="12"/>
        <v>microbial </v>
      </c>
      <c r="F422" s="64" t="s">
        <v>1930</v>
      </c>
      <c r="G422" t="str">
        <f t="shared" si="13"/>
        <v>organic certification</v>
      </c>
      <c r="H422" t="s">
        <v>1930</v>
      </c>
      <c r="L422" t="s">
        <v>2069</v>
      </c>
    </row>
    <row r="423" spans="1:12">
      <c r="A423" t="s">
        <v>494</v>
      </c>
      <c r="B423" t="str">
        <f t="shared" si="12"/>
        <v>micro-organism activity</v>
      </c>
      <c r="F423" s="64" t="s">
        <v>595</v>
      </c>
      <c r="G423" t="str">
        <f t="shared" si="13"/>
        <v>organic farming</v>
      </c>
      <c r="H423" t="s">
        <v>595</v>
      </c>
      <c r="L423" t="s">
        <v>595</v>
      </c>
    </row>
    <row r="424" spans="1:12">
      <c r="A424" s="55" t="s">
        <v>1361</v>
      </c>
      <c r="B424" t="str">
        <f t="shared" si="12"/>
        <v>minimum till </v>
      </c>
      <c r="F424" s="65" t="s">
        <v>1353</v>
      </c>
      <c r="G424" t="str">
        <f t="shared" si="13"/>
        <v>organic farming</v>
      </c>
      <c r="H424" t="s">
        <v>1353</v>
      </c>
      <c r="L424" t="s">
        <v>595</v>
      </c>
    </row>
    <row r="425" spans="1:12">
      <c r="A425" s="35" t="s">
        <v>1642</v>
      </c>
      <c r="B425" t="str">
        <f t="shared" si="12"/>
        <v>minimum-till</v>
      </c>
      <c r="F425" s="64" t="s">
        <v>598</v>
      </c>
      <c r="G425" t="str">
        <f t="shared" si="13"/>
        <v>organic matter</v>
      </c>
      <c r="H425" t="s">
        <v>598</v>
      </c>
      <c r="L425" t="s">
        <v>598</v>
      </c>
    </row>
    <row r="426" spans="1:12">
      <c r="A426" t="s">
        <v>622</v>
      </c>
      <c r="B426" t="str">
        <f t="shared" si="12"/>
        <v>mixed</v>
      </c>
      <c r="F426" s="64" t="s">
        <v>598</v>
      </c>
      <c r="G426" t="str">
        <f t="shared" si="13"/>
        <v>organic matter</v>
      </c>
      <c r="H426" t="s">
        <v>598</v>
      </c>
      <c r="L426" t="s">
        <v>598</v>
      </c>
    </row>
    <row r="427" spans="1:12">
      <c r="A427" t="s">
        <v>622</v>
      </c>
      <c r="B427" t="str">
        <f t="shared" si="12"/>
        <v>mixed</v>
      </c>
      <c r="F427" s="64" t="s">
        <v>1931</v>
      </c>
      <c r="G427" t="str">
        <f t="shared" si="13"/>
        <v>organic matter content</v>
      </c>
      <c r="H427" t="s">
        <v>1931</v>
      </c>
      <c r="L427" t="s">
        <v>1931</v>
      </c>
    </row>
    <row r="428" spans="1:12">
      <c r="A428" t="s">
        <v>1374</v>
      </c>
      <c r="B428" t="str">
        <f t="shared" si="12"/>
        <v>mixed </v>
      </c>
      <c r="F428" s="65" t="s">
        <v>1345</v>
      </c>
      <c r="G428" t="str">
        <f t="shared" si="13"/>
        <v>organic matter</v>
      </c>
      <c r="H428" t="s">
        <v>1345</v>
      </c>
      <c r="L428" t="s">
        <v>598</v>
      </c>
    </row>
    <row r="429" spans="1:12">
      <c r="A429" t="s">
        <v>1418</v>
      </c>
      <c r="B429" t="str">
        <f t="shared" si="12"/>
        <v>mulch</v>
      </c>
      <c r="F429" s="64" t="s">
        <v>1932</v>
      </c>
      <c r="G429" t="str">
        <f t="shared" si="13"/>
        <v>organic pesticides</v>
      </c>
      <c r="H429" t="s">
        <v>1932</v>
      </c>
      <c r="L429" t="s">
        <v>1932</v>
      </c>
    </row>
    <row r="430" spans="1:12">
      <c r="A430" s="35" t="s">
        <v>1641</v>
      </c>
      <c r="B430" t="str">
        <f t="shared" si="12"/>
        <v>mulch</v>
      </c>
      <c r="F430" s="64" t="s">
        <v>1933</v>
      </c>
      <c r="G430" t="str">
        <f t="shared" si="13"/>
        <v>organic pesticides</v>
      </c>
      <c r="H430" t="s">
        <v>1933</v>
      </c>
      <c r="L430" t="s">
        <v>1932</v>
      </c>
    </row>
    <row r="431" spans="1:12">
      <c r="A431" t="s">
        <v>1583</v>
      </c>
      <c r="B431" t="str">
        <f t="shared" si="12"/>
        <v>mulch </v>
      </c>
      <c r="F431" s="64" t="s">
        <v>1620</v>
      </c>
      <c r="G431" t="str">
        <f t="shared" si="13"/>
        <v>organic seed</v>
      </c>
      <c r="H431" t="s">
        <v>1620</v>
      </c>
      <c r="L431" t="s">
        <v>1620</v>
      </c>
    </row>
    <row r="432" spans="1:12">
      <c r="A432" s="55" t="s">
        <v>1354</v>
      </c>
      <c r="B432" t="str">
        <f t="shared" si="12"/>
        <v>mulch </v>
      </c>
      <c r="F432" s="65" t="s">
        <v>1934</v>
      </c>
      <c r="G432" t="str">
        <f t="shared" si="13"/>
        <v>organic seed</v>
      </c>
      <c r="H432" t="s">
        <v>1934</v>
      </c>
      <c r="L432" t="s">
        <v>1620</v>
      </c>
    </row>
    <row r="433" spans="1:12">
      <c r="A433" t="s">
        <v>596</v>
      </c>
      <c r="B433" t="str">
        <f t="shared" si="12"/>
        <v>mulching</v>
      </c>
      <c r="F433" s="65" t="s">
        <v>1328</v>
      </c>
      <c r="G433" t="str">
        <f t="shared" si="13"/>
        <v>organic</v>
      </c>
      <c r="H433" t="s">
        <v>1328</v>
      </c>
      <c r="L433" t="s">
        <v>576</v>
      </c>
    </row>
    <row r="434" spans="1:12">
      <c r="A434" t="s">
        <v>1706</v>
      </c>
      <c r="B434" t="str">
        <f t="shared" si="12"/>
        <v>multi-stakeholder</v>
      </c>
      <c r="F434" s="64" t="s">
        <v>1328</v>
      </c>
      <c r="G434" t="str">
        <f t="shared" si="13"/>
        <v>organic</v>
      </c>
      <c r="H434" t="s">
        <v>1328</v>
      </c>
      <c r="L434" t="s">
        <v>576</v>
      </c>
    </row>
    <row r="435" spans="1:12">
      <c r="A435" t="s">
        <v>1777</v>
      </c>
      <c r="B435" t="str">
        <f t="shared" si="12"/>
        <v>multi-stakeholder </v>
      </c>
      <c r="F435" s="64" t="s">
        <v>524</v>
      </c>
      <c r="G435" t="str">
        <f t="shared" si="13"/>
        <v>organisations</v>
      </c>
      <c r="H435" t="s">
        <v>524</v>
      </c>
      <c r="L435" t="s">
        <v>524</v>
      </c>
    </row>
    <row r="436" spans="1:12">
      <c r="A436" t="s">
        <v>1738</v>
      </c>
      <c r="B436" t="str">
        <f t="shared" si="12"/>
        <v>mult-stakeholder </v>
      </c>
      <c r="F436" s="64" t="s">
        <v>1258</v>
      </c>
      <c r="G436" t="str">
        <f t="shared" si="13"/>
        <v>organizations</v>
      </c>
      <c r="H436" t="s">
        <v>1258</v>
      </c>
      <c r="L436" t="s">
        <v>2070</v>
      </c>
    </row>
    <row r="437" spans="1:12">
      <c r="A437" t="s">
        <v>1626</v>
      </c>
      <c r="B437" t="str">
        <f t="shared" si="12"/>
        <v>native species</v>
      </c>
      <c r="F437" s="64" t="s">
        <v>1935</v>
      </c>
      <c r="G437" t="str">
        <f t="shared" si="13"/>
        <v>origin labelling</v>
      </c>
      <c r="H437" t="s">
        <v>1935</v>
      </c>
      <c r="L437" t="s">
        <v>2071</v>
      </c>
    </row>
    <row r="438" spans="1:12">
      <c r="A438" s="55" t="s">
        <v>1308</v>
      </c>
      <c r="B438" t="str">
        <f t="shared" si="12"/>
        <v>native species </v>
      </c>
      <c r="F438" s="64" t="s">
        <v>1629</v>
      </c>
      <c r="G438" t="str">
        <f t="shared" si="13"/>
        <v>orphan crops</v>
      </c>
      <c r="H438" t="s">
        <v>1629</v>
      </c>
      <c r="L438" t="s">
        <v>1629</v>
      </c>
    </row>
    <row r="439" spans="1:12">
      <c r="A439" t="s">
        <v>665</v>
      </c>
      <c r="B439" t="str">
        <f t="shared" si="12"/>
        <v xml:space="preserve">natural </v>
      </c>
      <c r="F439" s="64" t="s">
        <v>1936</v>
      </c>
      <c r="G439" t="str">
        <f t="shared" si="13"/>
        <v>orphan crops</v>
      </c>
      <c r="H439" t="s">
        <v>1936</v>
      </c>
      <c r="L439" t="s">
        <v>1629</v>
      </c>
    </row>
    <row r="440" spans="1:12">
      <c r="A440" t="s">
        <v>637</v>
      </c>
      <c r="B440" t="str">
        <f t="shared" si="12"/>
        <v>natural control</v>
      </c>
      <c r="F440" s="64" t="s">
        <v>558</v>
      </c>
      <c r="G440" t="str">
        <f t="shared" si="13"/>
        <v>ownership</v>
      </c>
      <c r="H440" t="s">
        <v>558</v>
      </c>
      <c r="L440" t="s">
        <v>558</v>
      </c>
    </row>
    <row r="441" spans="1:12">
      <c r="A441" t="s">
        <v>637</v>
      </c>
      <c r="B441" t="str">
        <f t="shared" si="12"/>
        <v>natural control</v>
      </c>
      <c r="F441" s="64" t="s">
        <v>1514</v>
      </c>
      <c r="G441" t="str">
        <f t="shared" si="13"/>
        <v>ownership</v>
      </c>
      <c r="H441" t="s">
        <v>1514</v>
      </c>
      <c r="L441" t="s">
        <v>558</v>
      </c>
    </row>
    <row r="442" spans="1:12">
      <c r="A442" t="s">
        <v>1570</v>
      </c>
      <c r="B442" t="str">
        <f t="shared" si="12"/>
        <v>natural control </v>
      </c>
      <c r="F442" s="64" t="s">
        <v>1937</v>
      </c>
      <c r="G442" t="str">
        <f t="shared" si="13"/>
        <v>packaging</v>
      </c>
      <c r="H442" t="s">
        <v>1937</v>
      </c>
      <c r="L442" t="s">
        <v>2072</v>
      </c>
    </row>
    <row r="443" spans="1:12">
      <c r="A443" t="s">
        <v>1428</v>
      </c>
      <c r="B443" t="str">
        <f t="shared" si="12"/>
        <v>natural enemies</v>
      </c>
      <c r="F443" s="64" t="s">
        <v>1694</v>
      </c>
      <c r="G443" t="str">
        <f t="shared" si="13"/>
        <v>participant</v>
      </c>
      <c r="H443" t="s">
        <v>1694</v>
      </c>
      <c r="L443" t="s">
        <v>1694</v>
      </c>
    </row>
    <row r="444" spans="1:12">
      <c r="A444" t="s">
        <v>1399</v>
      </c>
      <c r="B444" t="str">
        <f t="shared" si="12"/>
        <v>natural enemies </v>
      </c>
      <c r="F444" s="64" t="s">
        <v>1693</v>
      </c>
      <c r="G444" t="str">
        <f t="shared" si="13"/>
        <v>participat</v>
      </c>
      <c r="H444" t="s">
        <v>1693</v>
      </c>
      <c r="L444" t="s">
        <v>1693</v>
      </c>
    </row>
    <row r="445" spans="1:12">
      <c r="A445" t="s">
        <v>1438</v>
      </c>
      <c r="B445" t="str">
        <f t="shared" si="12"/>
        <v>natural habitat</v>
      </c>
      <c r="F445" s="64" t="s">
        <v>560</v>
      </c>
      <c r="G445" t="str">
        <f t="shared" si="13"/>
        <v>participation</v>
      </c>
      <c r="H445" t="s">
        <v>560</v>
      </c>
      <c r="L445" t="s">
        <v>560</v>
      </c>
    </row>
    <row r="446" spans="1:12">
      <c r="A446" t="s">
        <v>1408</v>
      </c>
      <c r="B446" t="str">
        <f t="shared" si="12"/>
        <v>natural habitat </v>
      </c>
      <c r="F446" s="64" t="s">
        <v>1516</v>
      </c>
      <c r="G446" t="str">
        <f t="shared" si="13"/>
        <v>participation</v>
      </c>
      <c r="H446" t="s">
        <v>1516</v>
      </c>
      <c r="L446" t="s">
        <v>560</v>
      </c>
    </row>
    <row r="447" spans="1:12">
      <c r="A447" t="s">
        <v>1651</v>
      </c>
      <c r="B447" t="str">
        <f t="shared" si="12"/>
        <v>natural pollinators</v>
      </c>
      <c r="F447" s="64" t="s">
        <v>570</v>
      </c>
      <c r="G447" t="str">
        <f t="shared" si="13"/>
        <v>participatory</v>
      </c>
      <c r="H447" t="s">
        <v>570</v>
      </c>
      <c r="L447" t="s">
        <v>570</v>
      </c>
    </row>
    <row r="448" spans="1:12">
      <c r="A448" s="55" t="s">
        <v>1290</v>
      </c>
      <c r="B448" t="str">
        <f t="shared" si="12"/>
        <v>natural pollinators </v>
      </c>
      <c r="F448" s="64" t="s">
        <v>1630</v>
      </c>
      <c r="G448" t="str">
        <f t="shared" si="13"/>
        <v>participatory breeding</v>
      </c>
      <c r="H448" t="s">
        <v>1630</v>
      </c>
      <c r="L448" t="s">
        <v>1630</v>
      </c>
    </row>
    <row r="449" spans="1:12">
      <c r="A449" t="s">
        <v>662</v>
      </c>
      <c r="B449" t="str">
        <f t="shared" si="12"/>
        <v>natural predators</v>
      </c>
      <c r="F449" s="64" t="s">
        <v>1938</v>
      </c>
      <c r="G449" t="str">
        <f t="shared" si="13"/>
        <v>participatory breeding</v>
      </c>
      <c r="H449" t="s">
        <v>1938</v>
      </c>
      <c r="L449" t="s">
        <v>1630</v>
      </c>
    </row>
    <row r="450" spans="1:12">
      <c r="A450" s="55" t="s">
        <v>1291</v>
      </c>
      <c r="B450" t="str">
        <f t="shared" ref="B450:B513" si="14">LOWER(A450)</f>
        <v>natural predators </v>
      </c>
      <c r="F450" s="64" t="s">
        <v>1526</v>
      </c>
      <c r="G450" t="str">
        <f t="shared" ref="G450:G513" si="15">TRIM(SUBSTITUTE(F450,CHAR(160)," "))</f>
        <v>participatory</v>
      </c>
      <c r="H450" t="s">
        <v>1526</v>
      </c>
      <c r="L450" t="s">
        <v>570</v>
      </c>
    </row>
    <row r="451" spans="1:12">
      <c r="A451" t="s">
        <v>1627</v>
      </c>
      <c r="B451" t="str">
        <f t="shared" si="14"/>
        <v>neglected crops</v>
      </c>
      <c r="F451" s="64" t="s">
        <v>1526</v>
      </c>
      <c r="G451" t="str">
        <f t="shared" si="15"/>
        <v>participatory</v>
      </c>
      <c r="H451" t="s">
        <v>1526</v>
      </c>
      <c r="L451" t="s">
        <v>570</v>
      </c>
    </row>
    <row r="452" spans="1:12">
      <c r="A452" s="55" t="s">
        <v>1309</v>
      </c>
      <c r="B452" t="str">
        <f t="shared" si="14"/>
        <v>neglected crops  </v>
      </c>
      <c r="F452" s="64" t="s">
        <v>1939</v>
      </c>
      <c r="G452" t="str">
        <f t="shared" si="15"/>
        <v>particulate organic matter</v>
      </c>
      <c r="H452" t="s">
        <v>1939</v>
      </c>
      <c r="L452" t="s">
        <v>1939</v>
      </c>
    </row>
    <row r="453" spans="1:12">
      <c r="A453" t="s">
        <v>1793</v>
      </c>
      <c r="B453" t="str">
        <f t="shared" si="14"/>
        <v>nematode</v>
      </c>
      <c r="F453" s="64" t="s">
        <v>1940</v>
      </c>
      <c r="G453" t="str">
        <f t="shared" si="15"/>
        <v>pasteurization</v>
      </c>
      <c r="H453" t="s">
        <v>1940</v>
      </c>
      <c r="L453" t="s">
        <v>2073</v>
      </c>
    </row>
    <row r="454" spans="1:12">
      <c r="A454" t="s">
        <v>552</v>
      </c>
      <c r="B454" t="str">
        <f t="shared" si="14"/>
        <v>network</v>
      </c>
      <c r="F454" s="64" t="s">
        <v>1941</v>
      </c>
      <c r="G454" t="str">
        <f t="shared" si="15"/>
        <v>pastures</v>
      </c>
      <c r="H454" t="s">
        <v>1941</v>
      </c>
      <c r="L454" t="s">
        <v>1941</v>
      </c>
    </row>
    <row r="455" spans="1:12">
      <c r="A455" t="s">
        <v>1248</v>
      </c>
      <c r="B455" t="str">
        <f t="shared" si="14"/>
        <v>network </v>
      </c>
      <c r="F455" s="64" t="s">
        <v>1942</v>
      </c>
      <c r="G455" t="str">
        <f t="shared" si="15"/>
        <v>pastures</v>
      </c>
      <c r="H455" t="s">
        <v>1942</v>
      </c>
      <c r="L455" t="s">
        <v>1941</v>
      </c>
    </row>
    <row r="456" spans="1:12">
      <c r="A456" t="s">
        <v>1507</v>
      </c>
      <c r="B456" t="str">
        <f t="shared" si="14"/>
        <v>network </v>
      </c>
      <c r="F456" s="64" t="s">
        <v>1943</v>
      </c>
      <c r="G456" t="str">
        <f t="shared" si="15"/>
        <v>payment for ecosystem services</v>
      </c>
      <c r="H456" t="s">
        <v>1943</v>
      </c>
      <c r="L456" t="s">
        <v>2074</v>
      </c>
    </row>
    <row r="457" spans="1:12">
      <c r="A457" t="s">
        <v>455</v>
      </c>
      <c r="B457" t="str">
        <f t="shared" si="14"/>
        <v>nitrate nitrogen</v>
      </c>
      <c r="F457" s="64" t="s">
        <v>499</v>
      </c>
      <c r="G457" t="str">
        <f t="shared" si="15"/>
        <v>peer</v>
      </c>
      <c r="H457" t="s">
        <v>499</v>
      </c>
      <c r="L457" t="s">
        <v>499</v>
      </c>
    </row>
    <row r="458" spans="1:12">
      <c r="A458" t="s">
        <v>634</v>
      </c>
      <c r="B458" t="str">
        <f t="shared" si="14"/>
        <v>nitrogen fixation</v>
      </c>
      <c r="F458" s="64" t="s">
        <v>1448</v>
      </c>
      <c r="G458" t="str">
        <f t="shared" si="15"/>
        <v>peer</v>
      </c>
      <c r="H458" t="s">
        <v>1448</v>
      </c>
      <c r="L458" t="s">
        <v>499</v>
      </c>
    </row>
    <row r="459" spans="1:12">
      <c r="A459" t="s">
        <v>634</v>
      </c>
      <c r="B459" t="str">
        <f t="shared" si="14"/>
        <v>nitrogen fixation</v>
      </c>
      <c r="F459" s="64" t="s">
        <v>1944</v>
      </c>
      <c r="G459" t="str">
        <f t="shared" si="15"/>
        <v>penetration resistance</v>
      </c>
      <c r="H459" t="s">
        <v>1944</v>
      </c>
      <c r="L459" t="s">
        <v>1944</v>
      </c>
    </row>
    <row r="460" spans="1:12">
      <c r="A460" t="s">
        <v>1567</v>
      </c>
      <c r="B460" t="str">
        <f t="shared" si="14"/>
        <v>nitrogen fixation </v>
      </c>
      <c r="F460" s="64" t="s">
        <v>1945</v>
      </c>
      <c r="G460" t="str">
        <f t="shared" si="15"/>
        <v>perennial crops</v>
      </c>
      <c r="H460" t="s">
        <v>1945</v>
      </c>
      <c r="L460" t="s">
        <v>1945</v>
      </c>
    </row>
    <row r="461" spans="1:12">
      <c r="A461" t="s">
        <v>633</v>
      </c>
      <c r="B461" t="str">
        <f t="shared" si="14"/>
        <v>nitrogen fixing</v>
      </c>
      <c r="F461" s="64" t="s">
        <v>1946</v>
      </c>
      <c r="G461" t="str">
        <f t="shared" si="15"/>
        <v>perennial crops</v>
      </c>
      <c r="H461" t="s">
        <v>1946</v>
      </c>
      <c r="L461" t="s">
        <v>1945</v>
      </c>
    </row>
    <row r="462" spans="1:12">
      <c r="A462" t="s">
        <v>633</v>
      </c>
      <c r="B462" t="str">
        <f t="shared" si="14"/>
        <v>nitrogen fixing</v>
      </c>
      <c r="F462" s="64" t="s">
        <v>593</v>
      </c>
      <c r="G462" t="str">
        <f t="shared" si="15"/>
        <v>permaculture</v>
      </c>
      <c r="H462" t="s">
        <v>593</v>
      </c>
      <c r="L462" t="s">
        <v>593</v>
      </c>
    </row>
    <row r="463" spans="1:12">
      <c r="A463" t="s">
        <v>1566</v>
      </c>
      <c r="B463" t="str">
        <f t="shared" si="14"/>
        <v>nitrogen fixing </v>
      </c>
      <c r="F463" s="65" t="s">
        <v>1351</v>
      </c>
      <c r="G463" t="str">
        <f t="shared" si="15"/>
        <v>permaculture</v>
      </c>
      <c r="H463" t="s">
        <v>1351</v>
      </c>
      <c r="L463" t="s">
        <v>593</v>
      </c>
    </row>
    <row r="464" spans="1:12">
      <c r="A464" t="s">
        <v>1646</v>
      </c>
      <c r="B464" t="str">
        <f t="shared" si="14"/>
        <v>no till</v>
      </c>
      <c r="F464" s="64" t="s">
        <v>594</v>
      </c>
      <c r="G464" t="str">
        <f t="shared" si="15"/>
        <v>permanent</v>
      </c>
      <c r="H464" t="s">
        <v>594</v>
      </c>
      <c r="L464" t="s">
        <v>594</v>
      </c>
    </row>
    <row r="465" spans="1:12">
      <c r="A465" t="s">
        <v>1433</v>
      </c>
      <c r="B465" t="str">
        <f t="shared" si="14"/>
        <v>non-crop plants</v>
      </c>
      <c r="F465" s="65" t="s">
        <v>1352</v>
      </c>
      <c r="G465" t="str">
        <f t="shared" si="15"/>
        <v>permanent</v>
      </c>
      <c r="H465" t="s">
        <v>1352</v>
      </c>
      <c r="L465" t="s">
        <v>594</v>
      </c>
    </row>
    <row r="466" spans="1:12">
      <c r="A466" t="s">
        <v>1758</v>
      </c>
      <c r="B466" t="str">
        <f t="shared" si="14"/>
        <v>non-crop plants </v>
      </c>
      <c r="F466" s="64" t="s">
        <v>608</v>
      </c>
      <c r="G466" t="str">
        <f t="shared" si="15"/>
        <v>pest</v>
      </c>
      <c r="H466" t="s">
        <v>608</v>
      </c>
      <c r="L466" t="s">
        <v>608</v>
      </c>
    </row>
    <row r="467" spans="1:12">
      <c r="A467" t="s">
        <v>1224</v>
      </c>
      <c r="B467" t="str">
        <f t="shared" si="14"/>
        <v>non-farm </v>
      </c>
      <c r="F467" s="64" t="s">
        <v>608</v>
      </c>
      <c r="G467" t="str">
        <f t="shared" si="15"/>
        <v>pest</v>
      </c>
      <c r="H467" t="s">
        <v>608</v>
      </c>
      <c r="L467" t="s">
        <v>608</v>
      </c>
    </row>
    <row r="468" spans="1:12">
      <c r="A468" s="55" t="s">
        <v>1362</v>
      </c>
      <c r="B468" t="str">
        <f t="shared" si="14"/>
        <v>no-till </v>
      </c>
      <c r="F468" s="65" t="s">
        <v>1292</v>
      </c>
      <c r="G468" t="str">
        <f t="shared" si="15"/>
        <v>pest</v>
      </c>
      <c r="H468" t="s">
        <v>1292</v>
      </c>
      <c r="L468" t="s">
        <v>608</v>
      </c>
    </row>
    <row r="469" spans="1:12">
      <c r="A469" t="s">
        <v>571</v>
      </c>
      <c r="B469" t="str">
        <f t="shared" si="14"/>
        <v>nutrient cycling</v>
      </c>
      <c r="F469" s="64" t="s">
        <v>1947</v>
      </c>
      <c r="G469" t="str">
        <f t="shared" si="15"/>
        <v>phosphorus concentration</v>
      </c>
      <c r="H469" t="s">
        <v>1947</v>
      </c>
      <c r="L469" t="s">
        <v>1947</v>
      </c>
    </row>
    <row r="470" spans="1:12">
      <c r="A470" s="35" t="s">
        <v>571</v>
      </c>
      <c r="B470" t="str">
        <f t="shared" si="14"/>
        <v>nutrient cycling</v>
      </c>
      <c r="F470" s="64" t="s">
        <v>1948</v>
      </c>
      <c r="G470" t="str">
        <f t="shared" si="15"/>
        <v>planted forage</v>
      </c>
      <c r="H470" t="s">
        <v>1948</v>
      </c>
      <c r="L470" t="s">
        <v>1948</v>
      </c>
    </row>
    <row r="471" spans="1:12">
      <c r="A471" t="s">
        <v>1322</v>
      </c>
      <c r="B471" t="str">
        <f t="shared" si="14"/>
        <v>nutrient cycling </v>
      </c>
      <c r="F471" s="64" t="s">
        <v>1949</v>
      </c>
      <c r="G471" t="str">
        <f t="shared" si="15"/>
        <v>planted forage</v>
      </c>
      <c r="H471" t="s">
        <v>1949</v>
      </c>
      <c r="L471" t="s">
        <v>1948</v>
      </c>
    </row>
    <row r="472" spans="1:12">
      <c r="A472" t="s">
        <v>1616</v>
      </c>
      <c r="B472" t="str">
        <f t="shared" si="14"/>
        <v>nutritional diversity</v>
      </c>
      <c r="F472" s="64" t="s">
        <v>620</v>
      </c>
      <c r="G472" t="str">
        <f t="shared" si="15"/>
        <v>planting</v>
      </c>
      <c r="H472" t="s">
        <v>620</v>
      </c>
      <c r="L472" t="s">
        <v>620</v>
      </c>
    </row>
    <row r="473" spans="1:12">
      <c r="A473" t="s">
        <v>1315</v>
      </c>
      <c r="B473" t="str">
        <f t="shared" si="14"/>
        <v>nutritional diversity </v>
      </c>
      <c r="F473" s="64" t="s">
        <v>1372</v>
      </c>
      <c r="G473" t="str">
        <f t="shared" si="15"/>
        <v>planting</v>
      </c>
      <c r="H473" t="s">
        <v>1372</v>
      </c>
      <c r="L473" t="s">
        <v>620</v>
      </c>
    </row>
    <row r="474" spans="1:12">
      <c r="A474" t="s">
        <v>547</v>
      </c>
      <c r="B474" t="str">
        <f t="shared" si="14"/>
        <v>nutritious</v>
      </c>
      <c r="F474" s="64" t="s">
        <v>567</v>
      </c>
      <c r="G474" t="str">
        <f t="shared" si="15"/>
        <v>policy-making</v>
      </c>
      <c r="H474" t="s">
        <v>567</v>
      </c>
      <c r="L474" t="s">
        <v>567</v>
      </c>
    </row>
    <row r="475" spans="1:12">
      <c r="A475" t="s">
        <v>547</v>
      </c>
      <c r="B475" t="str">
        <f t="shared" si="14"/>
        <v>nutritious</v>
      </c>
      <c r="F475" s="64" t="s">
        <v>1523</v>
      </c>
      <c r="G475" t="str">
        <f t="shared" si="15"/>
        <v>policy-making</v>
      </c>
      <c r="H475" t="s">
        <v>1523</v>
      </c>
      <c r="L475" t="s">
        <v>567</v>
      </c>
    </row>
    <row r="476" spans="1:12">
      <c r="A476" t="s">
        <v>1538</v>
      </c>
      <c r="B476" t="str">
        <f t="shared" si="14"/>
        <v>nutritious </v>
      </c>
      <c r="F476" s="64" t="s">
        <v>500</v>
      </c>
      <c r="G476" t="str">
        <f t="shared" si="15"/>
        <v>pollinating</v>
      </c>
      <c r="H476" t="s">
        <v>500</v>
      </c>
      <c r="L476" t="s">
        <v>500</v>
      </c>
    </row>
    <row r="477" spans="1:12">
      <c r="A477" t="s">
        <v>1739</v>
      </c>
      <c r="B477" t="str">
        <f t="shared" si="14"/>
        <v>off-farm </v>
      </c>
      <c r="F477" s="64" t="s">
        <v>500</v>
      </c>
      <c r="G477" t="str">
        <f t="shared" si="15"/>
        <v>pollinating</v>
      </c>
      <c r="H477" t="s">
        <v>500</v>
      </c>
      <c r="L477" t="s">
        <v>500</v>
      </c>
    </row>
    <row r="478" spans="1:12">
      <c r="A478" t="s">
        <v>1628</v>
      </c>
      <c r="B478" t="str">
        <f t="shared" si="14"/>
        <v>opportunity crops</v>
      </c>
      <c r="F478" s="65" t="s">
        <v>1293</v>
      </c>
      <c r="G478" t="str">
        <f t="shared" si="15"/>
        <v>pollinating</v>
      </c>
      <c r="H478" t="s">
        <v>1293</v>
      </c>
      <c r="L478" t="s">
        <v>500</v>
      </c>
    </row>
    <row r="479" spans="1:12">
      <c r="A479" s="55" t="s">
        <v>1310</v>
      </c>
      <c r="B479" t="str">
        <f t="shared" si="14"/>
        <v>opportunity crops </v>
      </c>
      <c r="F479" s="64" t="s">
        <v>606</v>
      </c>
      <c r="G479" t="str">
        <f t="shared" si="15"/>
        <v>pollinators</v>
      </c>
      <c r="H479" t="s">
        <v>606</v>
      </c>
      <c r="L479" t="s">
        <v>606</v>
      </c>
    </row>
    <row r="480" spans="1:12">
      <c r="A480" t="s">
        <v>576</v>
      </c>
      <c r="B480" t="str">
        <f t="shared" si="14"/>
        <v>organic</v>
      </c>
      <c r="F480" s="64" t="s">
        <v>606</v>
      </c>
      <c r="G480" t="str">
        <f t="shared" si="15"/>
        <v>pollinators</v>
      </c>
      <c r="H480" t="s">
        <v>606</v>
      </c>
      <c r="L480" t="s">
        <v>606</v>
      </c>
    </row>
    <row r="481" spans="1:12">
      <c r="A481" t="s">
        <v>576</v>
      </c>
      <c r="B481" t="str">
        <f t="shared" si="14"/>
        <v>organic</v>
      </c>
      <c r="F481" s="65" t="s">
        <v>1294</v>
      </c>
      <c r="G481" t="str">
        <f t="shared" si="15"/>
        <v>pollinators</v>
      </c>
      <c r="H481" t="s">
        <v>1294</v>
      </c>
      <c r="L481" t="s">
        <v>606</v>
      </c>
    </row>
    <row r="482" spans="1:12">
      <c r="A482" t="s">
        <v>1788</v>
      </c>
      <c r="B482" t="str">
        <f t="shared" si="14"/>
        <v>organic</v>
      </c>
      <c r="F482" s="64" t="s">
        <v>1652</v>
      </c>
      <c r="G482" t="str">
        <f t="shared" si="15"/>
        <v>polyculture</v>
      </c>
      <c r="H482" t="s">
        <v>1652</v>
      </c>
      <c r="L482" t="s">
        <v>1652</v>
      </c>
    </row>
    <row r="483" spans="1:12">
      <c r="A483" t="s">
        <v>1251</v>
      </c>
      <c r="B483" t="str">
        <f t="shared" si="14"/>
        <v>organic certification </v>
      </c>
      <c r="F483" s="65" t="s">
        <v>1950</v>
      </c>
      <c r="G483" t="str">
        <f t="shared" si="15"/>
        <v>polyculture</v>
      </c>
      <c r="H483" t="s">
        <v>1950</v>
      </c>
      <c r="L483" t="s">
        <v>1652</v>
      </c>
    </row>
    <row r="484" spans="1:12">
      <c r="A484" t="s">
        <v>595</v>
      </c>
      <c r="B484" t="str">
        <f t="shared" si="14"/>
        <v>organic farming</v>
      </c>
      <c r="F484" s="64" t="s">
        <v>1951</v>
      </c>
      <c r="G484" t="str">
        <f t="shared" si="15"/>
        <v>post-harvest</v>
      </c>
      <c r="H484" t="s">
        <v>1951</v>
      </c>
      <c r="L484" t="s">
        <v>2075</v>
      </c>
    </row>
    <row r="485" spans="1:12">
      <c r="A485" s="35" t="s">
        <v>595</v>
      </c>
      <c r="B485" t="str">
        <f t="shared" si="14"/>
        <v>organic farming</v>
      </c>
      <c r="F485" s="64" t="s">
        <v>1952</v>
      </c>
      <c r="G485" t="str">
        <f t="shared" si="15"/>
        <v>potassium</v>
      </c>
      <c r="H485" t="s">
        <v>1952</v>
      </c>
      <c r="L485" t="s">
        <v>1952</v>
      </c>
    </row>
    <row r="486" spans="1:12">
      <c r="A486" s="55" t="s">
        <v>1353</v>
      </c>
      <c r="B486" t="str">
        <f t="shared" si="14"/>
        <v>organic farming </v>
      </c>
      <c r="F486" s="64" t="s">
        <v>1953</v>
      </c>
      <c r="G486" t="str">
        <f t="shared" si="15"/>
        <v>potentially mineralizable nitrogen</v>
      </c>
      <c r="H486" t="s">
        <v>1953</v>
      </c>
      <c r="L486" t="s">
        <v>1953</v>
      </c>
    </row>
    <row r="487" spans="1:12">
      <c r="A487" t="s">
        <v>598</v>
      </c>
      <c r="B487" t="str">
        <f t="shared" si="14"/>
        <v>organic matter</v>
      </c>
      <c r="F487" s="64" t="s">
        <v>550</v>
      </c>
      <c r="G487" t="str">
        <f t="shared" si="15"/>
        <v>power</v>
      </c>
      <c r="H487" t="s">
        <v>550</v>
      </c>
      <c r="L487" t="s">
        <v>550</v>
      </c>
    </row>
    <row r="488" spans="1:12">
      <c r="A488" t="s">
        <v>598</v>
      </c>
      <c r="B488" t="str">
        <f t="shared" si="14"/>
        <v>organic matter</v>
      </c>
      <c r="F488" s="64" t="s">
        <v>1505</v>
      </c>
      <c r="G488" t="str">
        <f t="shared" si="15"/>
        <v>power</v>
      </c>
      <c r="H488" t="s">
        <v>1505</v>
      </c>
      <c r="L488" t="s">
        <v>550</v>
      </c>
    </row>
    <row r="489" spans="1:12">
      <c r="A489" t="s">
        <v>454</v>
      </c>
      <c r="B489" t="str">
        <f t="shared" si="14"/>
        <v>organic matter content</v>
      </c>
      <c r="F489" s="64" t="s">
        <v>518</v>
      </c>
      <c r="G489" t="str">
        <f t="shared" si="15"/>
        <v>practices</v>
      </c>
      <c r="H489" t="s">
        <v>518</v>
      </c>
      <c r="L489" t="s">
        <v>518</v>
      </c>
    </row>
    <row r="490" spans="1:12">
      <c r="A490" s="55" t="s">
        <v>1345</v>
      </c>
      <c r="B490" t="str">
        <f t="shared" si="14"/>
        <v>organic matter </v>
      </c>
      <c r="F490" s="64" t="s">
        <v>518</v>
      </c>
      <c r="G490" t="str">
        <f t="shared" si="15"/>
        <v>practices</v>
      </c>
      <c r="H490" t="s">
        <v>518</v>
      </c>
      <c r="L490" t="s">
        <v>518</v>
      </c>
    </row>
    <row r="491" spans="1:12">
      <c r="A491" t="s">
        <v>1789</v>
      </c>
      <c r="B491" t="str">
        <f t="shared" si="14"/>
        <v>organic pesticides</v>
      </c>
      <c r="F491" s="64" t="s">
        <v>1197</v>
      </c>
      <c r="G491" t="str">
        <f t="shared" si="15"/>
        <v>practices</v>
      </c>
      <c r="H491" t="s">
        <v>1197</v>
      </c>
      <c r="L491" t="s">
        <v>518</v>
      </c>
    </row>
    <row r="492" spans="1:12">
      <c r="A492" t="s">
        <v>1580</v>
      </c>
      <c r="B492" t="str">
        <f t="shared" si="14"/>
        <v>organic pesticides </v>
      </c>
      <c r="F492" s="64" t="s">
        <v>1197</v>
      </c>
      <c r="G492" t="str">
        <f t="shared" si="15"/>
        <v>practices</v>
      </c>
      <c r="H492" t="s">
        <v>1197</v>
      </c>
      <c r="L492" t="s">
        <v>518</v>
      </c>
    </row>
    <row r="493" spans="1:12">
      <c r="A493" t="s">
        <v>1620</v>
      </c>
      <c r="B493" t="str">
        <f t="shared" si="14"/>
        <v>organic seed</v>
      </c>
      <c r="F493" s="64" t="s">
        <v>666</v>
      </c>
      <c r="G493" t="str">
        <f t="shared" si="15"/>
        <v>predator</v>
      </c>
      <c r="H493" t="s">
        <v>666</v>
      </c>
      <c r="L493" t="s">
        <v>666</v>
      </c>
    </row>
    <row r="494" spans="1:12">
      <c r="A494" s="55" t="s">
        <v>1759</v>
      </c>
      <c r="B494" t="str">
        <f t="shared" si="14"/>
        <v>organic seed </v>
      </c>
      <c r="F494" s="64" t="s">
        <v>515</v>
      </c>
      <c r="G494" t="str">
        <f t="shared" si="15"/>
        <v>preservation</v>
      </c>
      <c r="H494" t="s">
        <v>515</v>
      </c>
      <c r="L494" t="s">
        <v>515</v>
      </c>
    </row>
    <row r="495" spans="1:12">
      <c r="A495" s="55" t="s">
        <v>1328</v>
      </c>
      <c r="B495" t="str">
        <f t="shared" si="14"/>
        <v>organic </v>
      </c>
      <c r="F495" s="64" t="s">
        <v>515</v>
      </c>
      <c r="G495" t="str">
        <f t="shared" si="15"/>
        <v>preservation</v>
      </c>
      <c r="H495" t="s">
        <v>515</v>
      </c>
      <c r="L495" t="s">
        <v>515</v>
      </c>
    </row>
    <row r="496" spans="1:12">
      <c r="A496" t="s">
        <v>1790</v>
      </c>
      <c r="B496" t="str">
        <f t="shared" si="14"/>
        <v>organic </v>
      </c>
      <c r="F496" s="64" t="s">
        <v>515</v>
      </c>
      <c r="G496" t="str">
        <f t="shared" si="15"/>
        <v>preservation</v>
      </c>
      <c r="H496" t="s">
        <v>515</v>
      </c>
      <c r="L496" t="s">
        <v>515</v>
      </c>
    </row>
    <row r="497" spans="1:12">
      <c r="A497" t="s">
        <v>524</v>
      </c>
      <c r="B497" t="str">
        <f t="shared" si="14"/>
        <v>organisations</v>
      </c>
      <c r="F497" s="64" t="s">
        <v>1194</v>
      </c>
      <c r="G497" t="str">
        <f t="shared" si="15"/>
        <v>preservation</v>
      </c>
      <c r="H497" t="s">
        <v>1194</v>
      </c>
      <c r="L497" t="s">
        <v>515</v>
      </c>
    </row>
    <row r="498" spans="1:12">
      <c r="A498" t="s">
        <v>1258</v>
      </c>
      <c r="B498" t="str">
        <f t="shared" si="14"/>
        <v>organizations </v>
      </c>
      <c r="F498" s="64" t="s">
        <v>1194</v>
      </c>
      <c r="G498" t="str">
        <f t="shared" si="15"/>
        <v>preservation</v>
      </c>
      <c r="H498" t="s">
        <v>1194</v>
      </c>
      <c r="L498" t="s">
        <v>515</v>
      </c>
    </row>
    <row r="499" spans="1:12">
      <c r="A499" t="s">
        <v>1740</v>
      </c>
      <c r="B499" t="str">
        <f t="shared" si="14"/>
        <v>origin labelling </v>
      </c>
      <c r="F499" s="64" t="s">
        <v>1194</v>
      </c>
      <c r="G499" t="str">
        <f t="shared" si="15"/>
        <v>preservation</v>
      </c>
      <c r="H499" t="s">
        <v>1194</v>
      </c>
      <c r="L499" t="s">
        <v>515</v>
      </c>
    </row>
    <row r="500" spans="1:12">
      <c r="A500" t="s">
        <v>1629</v>
      </c>
      <c r="B500" t="str">
        <f t="shared" si="14"/>
        <v>orphan crops</v>
      </c>
      <c r="F500" s="64" t="s">
        <v>631</v>
      </c>
      <c r="G500" t="str">
        <f t="shared" si="15"/>
        <v>preventative</v>
      </c>
      <c r="H500" t="s">
        <v>631</v>
      </c>
      <c r="L500" t="s">
        <v>631</v>
      </c>
    </row>
    <row r="501" spans="1:12">
      <c r="A501" t="s">
        <v>1311</v>
      </c>
      <c r="B501" t="str">
        <f t="shared" si="14"/>
        <v>orphan crops </v>
      </c>
      <c r="F501" s="64" t="s">
        <v>1564</v>
      </c>
      <c r="G501" t="str">
        <f t="shared" si="15"/>
        <v>preventative</v>
      </c>
      <c r="H501" t="s">
        <v>1564</v>
      </c>
      <c r="L501" t="s">
        <v>631</v>
      </c>
    </row>
    <row r="502" spans="1:12">
      <c r="A502" t="s">
        <v>558</v>
      </c>
      <c r="B502" t="str">
        <f t="shared" si="14"/>
        <v>ownership</v>
      </c>
      <c r="F502" s="64" t="s">
        <v>632</v>
      </c>
      <c r="G502" t="str">
        <f t="shared" si="15"/>
        <v>preventive</v>
      </c>
      <c r="H502" t="s">
        <v>632</v>
      </c>
      <c r="L502" t="s">
        <v>632</v>
      </c>
    </row>
    <row r="503" spans="1:12">
      <c r="A503" t="s">
        <v>1514</v>
      </c>
      <c r="B503" t="str">
        <f t="shared" si="14"/>
        <v>ownership </v>
      </c>
      <c r="F503" s="64" t="s">
        <v>1565</v>
      </c>
      <c r="G503" t="str">
        <f t="shared" si="15"/>
        <v>preventive</v>
      </c>
      <c r="H503" t="s">
        <v>1565</v>
      </c>
      <c r="L503" t="s">
        <v>632</v>
      </c>
    </row>
    <row r="504" spans="1:12">
      <c r="A504" t="s">
        <v>1226</v>
      </c>
      <c r="B504" t="str">
        <f t="shared" si="14"/>
        <v>packaging </v>
      </c>
      <c r="F504" s="64" t="s">
        <v>1723</v>
      </c>
      <c r="G504" t="str">
        <f t="shared" si="15"/>
        <v>price</v>
      </c>
      <c r="H504" t="s">
        <v>1723</v>
      </c>
      <c r="L504" t="s">
        <v>2076</v>
      </c>
    </row>
    <row r="505" spans="1:12">
      <c r="A505" t="s">
        <v>1694</v>
      </c>
      <c r="B505" t="str">
        <f t="shared" si="14"/>
        <v>participant</v>
      </c>
      <c r="F505" s="64" t="s">
        <v>1028</v>
      </c>
      <c r="G505" t="str">
        <f t="shared" si="15"/>
        <v>prices</v>
      </c>
      <c r="H505" t="s">
        <v>1028</v>
      </c>
      <c r="L505" t="s">
        <v>1028</v>
      </c>
    </row>
    <row r="506" spans="1:12">
      <c r="A506" t="s">
        <v>1693</v>
      </c>
      <c r="B506" t="str">
        <f t="shared" si="14"/>
        <v>participat</v>
      </c>
      <c r="F506" s="64" t="s">
        <v>1954</v>
      </c>
      <c r="G506" t="str">
        <f t="shared" si="15"/>
        <v>processing</v>
      </c>
      <c r="H506" t="s">
        <v>1954</v>
      </c>
      <c r="L506" t="s">
        <v>2077</v>
      </c>
    </row>
    <row r="507" spans="1:12">
      <c r="A507" t="s">
        <v>560</v>
      </c>
      <c r="B507" t="str">
        <f t="shared" si="14"/>
        <v>participation</v>
      </c>
      <c r="F507" s="64" t="s">
        <v>522</v>
      </c>
      <c r="G507" t="str">
        <f t="shared" si="15"/>
        <v>procurement</v>
      </c>
      <c r="H507" t="s">
        <v>522</v>
      </c>
      <c r="L507" t="s">
        <v>522</v>
      </c>
    </row>
    <row r="508" spans="1:12">
      <c r="A508" t="s">
        <v>1516</v>
      </c>
      <c r="B508" t="str">
        <f t="shared" si="14"/>
        <v>participation </v>
      </c>
      <c r="F508" s="64" t="s">
        <v>1256</v>
      </c>
      <c r="G508" t="str">
        <f t="shared" si="15"/>
        <v>procurement</v>
      </c>
      <c r="H508" t="s">
        <v>1256</v>
      </c>
      <c r="L508" t="s">
        <v>522</v>
      </c>
    </row>
    <row r="509" spans="1:12">
      <c r="A509" t="s">
        <v>570</v>
      </c>
      <c r="B509" t="str">
        <f t="shared" si="14"/>
        <v>participatory</v>
      </c>
      <c r="F509" s="64" t="s">
        <v>1955</v>
      </c>
      <c r="G509" t="str">
        <f t="shared" si="15"/>
        <v>producer-consumer</v>
      </c>
      <c r="H509" t="s">
        <v>1955</v>
      </c>
      <c r="L509" t="s">
        <v>2078</v>
      </c>
    </row>
    <row r="510" spans="1:12">
      <c r="A510" t="s">
        <v>1630</v>
      </c>
      <c r="B510" t="str">
        <f t="shared" si="14"/>
        <v>participatory breeding</v>
      </c>
      <c r="F510" s="64" t="s">
        <v>514</v>
      </c>
      <c r="G510" t="str">
        <f t="shared" si="15"/>
        <v>protection</v>
      </c>
      <c r="H510" t="s">
        <v>514</v>
      </c>
      <c r="L510" t="s">
        <v>514</v>
      </c>
    </row>
    <row r="511" spans="1:12">
      <c r="A511" t="s">
        <v>1312</v>
      </c>
      <c r="B511" t="str">
        <f t="shared" si="14"/>
        <v>participatory breeding </v>
      </c>
      <c r="F511" s="64" t="s">
        <v>514</v>
      </c>
      <c r="G511" t="str">
        <f t="shared" si="15"/>
        <v>protection</v>
      </c>
      <c r="H511" t="s">
        <v>514</v>
      </c>
      <c r="L511" t="s">
        <v>514</v>
      </c>
    </row>
    <row r="512" spans="1:12">
      <c r="A512" t="s">
        <v>1778</v>
      </c>
      <c r="B512" t="str">
        <f t="shared" si="14"/>
        <v>participatory </v>
      </c>
      <c r="F512" s="64" t="s">
        <v>1193</v>
      </c>
      <c r="G512" t="str">
        <f t="shared" si="15"/>
        <v>protection</v>
      </c>
      <c r="H512" t="s">
        <v>1193</v>
      </c>
      <c r="L512" t="s">
        <v>514</v>
      </c>
    </row>
    <row r="513" spans="1:12">
      <c r="A513" t="s">
        <v>1526</v>
      </c>
      <c r="B513" t="str">
        <f t="shared" si="14"/>
        <v>participatory </v>
      </c>
      <c r="F513" s="64" t="s">
        <v>1193</v>
      </c>
      <c r="G513" t="str">
        <f t="shared" si="15"/>
        <v>protection</v>
      </c>
      <c r="H513" t="s">
        <v>1193</v>
      </c>
      <c r="L513" t="s">
        <v>514</v>
      </c>
    </row>
    <row r="514" spans="1:12">
      <c r="A514" t="s">
        <v>449</v>
      </c>
      <c r="B514" t="str">
        <f t="shared" ref="B514:B577" si="16">LOWER(A514)</f>
        <v>particulate organic matter</v>
      </c>
      <c r="F514" s="64" t="s">
        <v>1621</v>
      </c>
      <c r="G514" t="str">
        <f t="shared" ref="G514:G577" si="17">TRIM(SUBSTITUTE(F514,CHAR(160)," "))</f>
        <v>purchase seed</v>
      </c>
      <c r="H514" t="s">
        <v>1621</v>
      </c>
      <c r="L514" t="s">
        <v>1621</v>
      </c>
    </row>
    <row r="515" spans="1:12">
      <c r="A515" t="s">
        <v>1233</v>
      </c>
      <c r="B515" t="str">
        <f t="shared" si="16"/>
        <v>pasteurization </v>
      </c>
      <c r="F515" s="65" t="s">
        <v>1956</v>
      </c>
      <c r="G515" t="str">
        <f t="shared" si="17"/>
        <v>purchase seed</v>
      </c>
      <c r="H515" t="s">
        <v>1956</v>
      </c>
      <c r="L515" t="s">
        <v>1621</v>
      </c>
    </row>
    <row r="516" spans="1:12">
      <c r="A516" t="s">
        <v>1560</v>
      </c>
      <c r="B516" t="str">
        <f t="shared" si="16"/>
        <v>pastures</v>
      </c>
      <c r="F516" s="64" t="s">
        <v>1957</v>
      </c>
      <c r="G516" t="str">
        <f t="shared" si="17"/>
        <v>push-pull</v>
      </c>
      <c r="H516" t="s">
        <v>1957</v>
      </c>
      <c r="L516" t="s">
        <v>1957</v>
      </c>
    </row>
    <row r="517" spans="1:12">
      <c r="A517" t="s">
        <v>1388</v>
      </c>
      <c r="B517" t="str">
        <f t="shared" si="16"/>
        <v>pastures </v>
      </c>
      <c r="F517" s="64" t="s">
        <v>1958</v>
      </c>
      <c r="G517" t="str">
        <f t="shared" si="17"/>
        <v>push-pull</v>
      </c>
      <c r="H517" t="s">
        <v>1958</v>
      </c>
      <c r="L517" t="s">
        <v>1957</v>
      </c>
    </row>
    <row r="518" spans="1:12">
      <c r="A518" t="s">
        <v>1741</v>
      </c>
      <c r="B518" t="str">
        <f t="shared" si="16"/>
        <v>payment for ecosystem services </v>
      </c>
      <c r="F518" s="64" t="s">
        <v>509</v>
      </c>
      <c r="G518" t="str">
        <f t="shared" si="17"/>
        <v>quality</v>
      </c>
      <c r="H518" t="s">
        <v>509</v>
      </c>
      <c r="L518" t="s">
        <v>509</v>
      </c>
    </row>
    <row r="519" spans="1:12">
      <c r="A519" t="s">
        <v>499</v>
      </c>
      <c r="B519" t="str">
        <f t="shared" si="16"/>
        <v>peer</v>
      </c>
      <c r="F519" s="64" t="s">
        <v>509</v>
      </c>
      <c r="G519" t="str">
        <f t="shared" si="17"/>
        <v>quality</v>
      </c>
      <c r="H519" t="s">
        <v>509</v>
      </c>
      <c r="L519" t="s">
        <v>509</v>
      </c>
    </row>
    <row r="520" spans="1:12">
      <c r="A520" t="s">
        <v>499</v>
      </c>
      <c r="B520" t="str">
        <f t="shared" si="16"/>
        <v>peer</v>
      </c>
      <c r="F520" s="64" t="s">
        <v>1188</v>
      </c>
      <c r="G520" t="str">
        <f t="shared" si="17"/>
        <v>quality</v>
      </c>
      <c r="H520" t="s">
        <v>1188</v>
      </c>
      <c r="L520" t="s">
        <v>509</v>
      </c>
    </row>
    <row r="521" spans="1:12">
      <c r="A521" t="s">
        <v>1448</v>
      </c>
      <c r="B521" t="str">
        <f t="shared" si="16"/>
        <v>peer </v>
      </c>
      <c r="F521" s="64" t="s">
        <v>1188</v>
      </c>
      <c r="G521" t="str">
        <f t="shared" si="17"/>
        <v>quality</v>
      </c>
      <c r="H521" t="s">
        <v>1188</v>
      </c>
      <c r="L521" t="s">
        <v>509</v>
      </c>
    </row>
    <row r="522" spans="1:12">
      <c r="A522" t="s">
        <v>474</v>
      </c>
      <c r="B522" t="str">
        <f t="shared" si="16"/>
        <v>penetration resistance</v>
      </c>
      <c r="F522" s="64" t="s">
        <v>1671</v>
      </c>
      <c r="G522" t="str">
        <f t="shared" si="17"/>
        <v>race</v>
      </c>
      <c r="H522" t="s">
        <v>1671</v>
      </c>
      <c r="L522" t="s">
        <v>1671</v>
      </c>
    </row>
    <row r="523" spans="1:12">
      <c r="A523" t="s">
        <v>1791</v>
      </c>
      <c r="B523" t="str">
        <f t="shared" si="16"/>
        <v>perennial crops</v>
      </c>
      <c r="F523" s="64" t="s">
        <v>1670</v>
      </c>
      <c r="G523" t="str">
        <f t="shared" si="17"/>
        <v>racial</v>
      </c>
      <c r="H523" t="s">
        <v>1670</v>
      </c>
      <c r="L523" t="s">
        <v>1670</v>
      </c>
    </row>
    <row r="524" spans="1:12">
      <c r="A524" t="s">
        <v>1586</v>
      </c>
      <c r="B524" t="str">
        <f t="shared" si="16"/>
        <v>perennial crops </v>
      </c>
      <c r="F524" s="64" t="s">
        <v>1682</v>
      </c>
      <c r="G524" t="str">
        <f t="shared" si="17"/>
        <v>racial inequity</v>
      </c>
      <c r="H524" t="s">
        <v>1682</v>
      </c>
      <c r="L524" t="s">
        <v>1682</v>
      </c>
    </row>
    <row r="525" spans="1:12">
      <c r="A525" t="s">
        <v>593</v>
      </c>
      <c r="B525" t="str">
        <f t="shared" si="16"/>
        <v>permaculture</v>
      </c>
      <c r="F525" s="64" t="s">
        <v>1048</v>
      </c>
      <c r="G525" t="str">
        <f t="shared" si="17"/>
        <v>rainwater</v>
      </c>
      <c r="H525" t="s">
        <v>1048</v>
      </c>
      <c r="L525" t="s">
        <v>1048</v>
      </c>
    </row>
    <row r="526" spans="1:12">
      <c r="A526" t="s">
        <v>593</v>
      </c>
      <c r="B526" t="str">
        <f t="shared" si="16"/>
        <v>permaculture</v>
      </c>
      <c r="F526" s="64" t="s">
        <v>1644</v>
      </c>
      <c r="G526" t="str">
        <f t="shared" si="17"/>
        <v>rainwater harvesting</v>
      </c>
      <c r="H526" t="s">
        <v>1644</v>
      </c>
      <c r="L526" t="s">
        <v>1644</v>
      </c>
    </row>
    <row r="527" spans="1:12">
      <c r="A527" s="55" t="s">
        <v>1351</v>
      </c>
      <c r="B527" t="str">
        <f t="shared" si="16"/>
        <v>permaculture </v>
      </c>
      <c r="F527" s="65" t="s">
        <v>1959</v>
      </c>
      <c r="G527" t="str">
        <f t="shared" si="17"/>
        <v>rainwater harvesting</v>
      </c>
      <c r="H527" t="s">
        <v>1959</v>
      </c>
      <c r="L527" t="s">
        <v>1644</v>
      </c>
    </row>
    <row r="528" spans="1:12">
      <c r="A528" t="s">
        <v>594</v>
      </c>
      <c r="B528" t="str">
        <f t="shared" si="16"/>
        <v>permanent</v>
      </c>
      <c r="F528" s="64" t="s">
        <v>1960</v>
      </c>
      <c r="G528" t="str">
        <f t="shared" si="17"/>
        <v>reactive carbon</v>
      </c>
      <c r="H528" t="s">
        <v>1960</v>
      </c>
      <c r="L528" t="s">
        <v>1960</v>
      </c>
    </row>
    <row r="529" spans="1:12">
      <c r="A529" s="55" t="s">
        <v>1352</v>
      </c>
      <c r="B529" t="str">
        <f t="shared" si="16"/>
        <v>permanent </v>
      </c>
      <c r="F529" s="64" t="s">
        <v>582</v>
      </c>
      <c r="G529" t="str">
        <f t="shared" si="17"/>
        <v>reclamation</v>
      </c>
      <c r="H529" t="s">
        <v>582</v>
      </c>
      <c r="L529" t="s">
        <v>582</v>
      </c>
    </row>
    <row r="530" spans="1:12">
      <c r="A530" t="s">
        <v>608</v>
      </c>
      <c r="B530" t="str">
        <f t="shared" si="16"/>
        <v>pest</v>
      </c>
      <c r="F530" s="64" t="s">
        <v>1325</v>
      </c>
      <c r="G530" t="str">
        <f t="shared" si="17"/>
        <v>reclamation</v>
      </c>
      <c r="H530" t="s">
        <v>1325</v>
      </c>
      <c r="L530" t="s">
        <v>582</v>
      </c>
    </row>
    <row r="531" spans="1:12">
      <c r="A531" t="s">
        <v>608</v>
      </c>
      <c r="B531" t="str">
        <f t="shared" si="16"/>
        <v>pest</v>
      </c>
      <c r="F531" s="64" t="s">
        <v>574</v>
      </c>
      <c r="G531" t="str">
        <f t="shared" si="17"/>
        <v>recovery</v>
      </c>
      <c r="H531" t="s">
        <v>574</v>
      </c>
      <c r="L531" t="s">
        <v>574</v>
      </c>
    </row>
    <row r="532" spans="1:12">
      <c r="A532" s="55" t="s">
        <v>1292</v>
      </c>
      <c r="B532" t="str">
        <f t="shared" si="16"/>
        <v>pest </v>
      </c>
      <c r="F532" s="65" t="s">
        <v>1326</v>
      </c>
      <c r="G532" t="str">
        <f t="shared" si="17"/>
        <v>recovery</v>
      </c>
      <c r="H532" t="s">
        <v>1326</v>
      </c>
      <c r="L532" t="s">
        <v>574</v>
      </c>
    </row>
    <row r="533" spans="1:12">
      <c r="A533" t="s">
        <v>480</v>
      </c>
      <c r="B533" t="str">
        <f t="shared" si="16"/>
        <v>phosphorus concentration</v>
      </c>
      <c r="F533" s="64" t="s">
        <v>586</v>
      </c>
      <c r="G533" t="str">
        <f t="shared" si="17"/>
        <v>recyclable</v>
      </c>
      <c r="H533" t="s">
        <v>586</v>
      </c>
      <c r="L533" t="s">
        <v>586</v>
      </c>
    </row>
    <row r="534" spans="1:12">
      <c r="A534" t="s">
        <v>1792</v>
      </c>
      <c r="B534" t="str">
        <f t="shared" si="16"/>
        <v>planted forage</v>
      </c>
      <c r="F534" s="64" t="s">
        <v>1317</v>
      </c>
      <c r="G534" t="str">
        <f t="shared" si="17"/>
        <v>recyclable</v>
      </c>
      <c r="H534" t="s">
        <v>1317</v>
      </c>
      <c r="L534" t="s">
        <v>586</v>
      </c>
    </row>
    <row r="535" spans="1:12">
      <c r="A535" t="s">
        <v>1588</v>
      </c>
      <c r="B535" t="str">
        <f t="shared" si="16"/>
        <v>planted forage </v>
      </c>
      <c r="F535" s="77" t="s">
        <v>657</v>
      </c>
      <c r="G535" t="str">
        <f t="shared" si="17"/>
        <v>recycling</v>
      </c>
      <c r="H535" t="s">
        <v>657</v>
      </c>
      <c r="L535" t="s">
        <v>657</v>
      </c>
    </row>
    <row r="536" spans="1:12">
      <c r="A536" t="s">
        <v>620</v>
      </c>
      <c r="B536" t="str">
        <f t="shared" si="16"/>
        <v>planting</v>
      </c>
      <c r="F536" s="64" t="s">
        <v>1318</v>
      </c>
      <c r="G536" t="str">
        <f t="shared" si="17"/>
        <v>recycling</v>
      </c>
      <c r="H536" t="s">
        <v>1318</v>
      </c>
      <c r="L536" t="s">
        <v>657</v>
      </c>
    </row>
    <row r="537" spans="1:12">
      <c r="A537" t="s">
        <v>620</v>
      </c>
      <c r="B537" t="str">
        <f t="shared" si="16"/>
        <v>planting</v>
      </c>
      <c r="F537" s="64" t="s">
        <v>615</v>
      </c>
      <c r="G537" t="str">
        <f t="shared" si="17"/>
        <v>redesign</v>
      </c>
      <c r="H537" t="s">
        <v>615</v>
      </c>
      <c r="L537" t="s">
        <v>615</v>
      </c>
    </row>
    <row r="538" spans="1:12">
      <c r="A538" t="s">
        <v>1372</v>
      </c>
      <c r="B538" t="str">
        <f t="shared" si="16"/>
        <v>planting </v>
      </c>
      <c r="F538" s="64" t="s">
        <v>1368</v>
      </c>
      <c r="G538" t="str">
        <f t="shared" si="17"/>
        <v>redesign</v>
      </c>
      <c r="H538" t="s">
        <v>1368</v>
      </c>
      <c r="L538" t="s">
        <v>615</v>
      </c>
    </row>
    <row r="539" spans="1:12">
      <c r="A539" t="s">
        <v>567</v>
      </c>
      <c r="B539" t="str">
        <f t="shared" si="16"/>
        <v>policy-making</v>
      </c>
      <c r="F539" s="64" t="s">
        <v>1661</v>
      </c>
      <c r="G539" t="str">
        <f t="shared" si="17"/>
        <v>reduced use of pesticides</v>
      </c>
      <c r="H539" t="s">
        <v>1661</v>
      </c>
      <c r="L539" t="s">
        <v>1661</v>
      </c>
    </row>
    <row r="540" spans="1:12">
      <c r="A540" t="s">
        <v>1523</v>
      </c>
      <c r="B540" t="str">
        <f t="shared" si="16"/>
        <v>policy-making </v>
      </c>
      <c r="F540" s="77" t="s">
        <v>660</v>
      </c>
      <c r="G540" t="str">
        <f t="shared" si="17"/>
        <v>reduction</v>
      </c>
      <c r="H540" t="s">
        <v>660</v>
      </c>
      <c r="L540" t="s">
        <v>660</v>
      </c>
    </row>
    <row r="541" spans="1:12">
      <c r="A541" t="s">
        <v>500</v>
      </c>
      <c r="B541" t="str">
        <f t="shared" si="16"/>
        <v>pollinating</v>
      </c>
      <c r="F541" s="64" t="s">
        <v>1563</v>
      </c>
      <c r="G541" t="str">
        <f t="shared" si="17"/>
        <v>reduction</v>
      </c>
      <c r="H541" t="s">
        <v>1563</v>
      </c>
      <c r="L541" t="s">
        <v>660</v>
      </c>
    </row>
    <row r="542" spans="1:12">
      <c r="A542" t="s">
        <v>500</v>
      </c>
      <c r="B542" t="str">
        <f t="shared" si="16"/>
        <v>pollinating</v>
      </c>
      <c r="F542" s="64" t="s">
        <v>1961</v>
      </c>
      <c r="G542" t="str">
        <f t="shared" si="17"/>
        <v>reforestation</v>
      </c>
      <c r="H542" t="s">
        <v>1961</v>
      </c>
      <c r="L542" t="s">
        <v>1961</v>
      </c>
    </row>
    <row r="543" spans="1:12">
      <c r="A543" s="55" t="s">
        <v>1293</v>
      </c>
      <c r="B543" t="str">
        <f t="shared" si="16"/>
        <v>pollinating </v>
      </c>
      <c r="F543" s="64" t="s">
        <v>1962</v>
      </c>
      <c r="G543" t="str">
        <f t="shared" si="17"/>
        <v>reforestation</v>
      </c>
      <c r="H543" t="s">
        <v>1962</v>
      </c>
      <c r="L543" t="s">
        <v>1961</v>
      </c>
    </row>
    <row r="544" spans="1:12">
      <c r="A544" t="s">
        <v>606</v>
      </c>
      <c r="B544" t="str">
        <f t="shared" si="16"/>
        <v>pollinators</v>
      </c>
      <c r="F544" s="64" t="s">
        <v>1963</v>
      </c>
      <c r="G544" t="str">
        <f t="shared" si="17"/>
        <v>regenerative</v>
      </c>
      <c r="H544" t="s">
        <v>1963</v>
      </c>
      <c r="L544" t="s">
        <v>1963</v>
      </c>
    </row>
    <row r="545" spans="1:12">
      <c r="A545" t="s">
        <v>606</v>
      </c>
      <c r="B545" t="str">
        <f t="shared" si="16"/>
        <v>pollinators</v>
      </c>
      <c r="F545" s="64" t="s">
        <v>1964</v>
      </c>
      <c r="G545" t="str">
        <f t="shared" si="17"/>
        <v>regenerative</v>
      </c>
      <c r="H545" t="s">
        <v>1964</v>
      </c>
      <c r="L545" t="s">
        <v>1963</v>
      </c>
    </row>
    <row r="546" spans="1:12">
      <c r="A546" s="55" t="s">
        <v>1294</v>
      </c>
      <c r="B546" t="str">
        <f t="shared" si="16"/>
        <v>pollinators </v>
      </c>
      <c r="F546" s="64" t="s">
        <v>1965</v>
      </c>
      <c r="G546" t="str">
        <f t="shared" si="17"/>
        <v>regulations</v>
      </c>
      <c r="H546" t="s">
        <v>1965</v>
      </c>
      <c r="L546" t="s">
        <v>2079</v>
      </c>
    </row>
    <row r="547" spans="1:12">
      <c r="A547" t="s">
        <v>1652</v>
      </c>
      <c r="B547" t="str">
        <f t="shared" si="16"/>
        <v>polyculture</v>
      </c>
      <c r="F547" s="64" t="s">
        <v>551</v>
      </c>
      <c r="G547" t="str">
        <f t="shared" si="17"/>
        <v>relations</v>
      </c>
      <c r="H547" t="s">
        <v>551</v>
      </c>
      <c r="L547" t="s">
        <v>551</v>
      </c>
    </row>
    <row r="548" spans="1:12">
      <c r="A548" s="55" t="s">
        <v>1295</v>
      </c>
      <c r="B548" t="str">
        <f t="shared" si="16"/>
        <v>polyculture </v>
      </c>
      <c r="F548" s="64" t="s">
        <v>1506</v>
      </c>
      <c r="G548" t="str">
        <f t="shared" si="17"/>
        <v>relations</v>
      </c>
      <c r="H548" t="s">
        <v>1506</v>
      </c>
      <c r="L548" t="s">
        <v>551</v>
      </c>
    </row>
    <row r="549" spans="1:12">
      <c r="A549" t="s">
        <v>1742</v>
      </c>
      <c r="B549" t="str">
        <f t="shared" si="16"/>
        <v>post-harvest </v>
      </c>
      <c r="F549" s="64" t="s">
        <v>545</v>
      </c>
      <c r="G549" t="str">
        <f t="shared" si="17"/>
        <v>relevant</v>
      </c>
      <c r="H549" t="s">
        <v>545</v>
      </c>
      <c r="L549" t="s">
        <v>545</v>
      </c>
    </row>
    <row r="550" spans="1:12">
      <c r="A550" t="s">
        <v>456</v>
      </c>
      <c r="B550" t="str">
        <f t="shared" si="16"/>
        <v>potassium</v>
      </c>
      <c r="F550" s="64" t="s">
        <v>1536</v>
      </c>
      <c r="G550" t="str">
        <f t="shared" si="17"/>
        <v>relevant</v>
      </c>
      <c r="H550" t="s">
        <v>1536</v>
      </c>
      <c r="L550" t="s">
        <v>545</v>
      </c>
    </row>
    <row r="551" spans="1:12">
      <c r="A551" t="s">
        <v>447</v>
      </c>
      <c r="B551" t="str">
        <f t="shared" si="16"/>
        <v>potentially mineralizable nitrogen</v>
      </c>
      <c r="F551" s="64" t="s">
        <v>643</v>
      </c>
      <c r="G551" t="str">
        <f t="shared" si="17"/>
        <v>renewable</v>
      </c>
      <c r="H551" t="s">
        <v>643</v>
      </c>
      <c r="L551" t="s">
        <v>643</v>
      </c>
    </row>
    <row r="552" spans="1:12">
      <c r="A552" t="s">
        <v>550</v>
      </c>
      <c r="B552" t="str">
        <f t="shared" si="16"/>
        <v>power</v>
      </c>
      <c r="F552" s="66" t="s">
        <v>1640</v>
      </c>
      <c r="G552" t="str">
        <f t="shared" si="17"/>
        <v>renewable energy</v>
      </c>
      <c r="H552" t="s">
        <v>1640</v>
      </c>
      <c r="L552" t="s">
        <v>1640</v>
      </c>
    </row>
    <row r="553" spans="1:12">
      <c r="A553" t="s">
        <v>1505</v>
      </c>
      <c r="B553" t="str">
        <f t="shared" si="16"/>
        <v>power </v>
      </c>
      <c r="F553" s="65" t="s">
        <v>1966</v>
      </c>
      <c r="G553" t="str">
        <f t="shared" si="17"/>
        <v>renewable energy</v>
      </c>
      <c r="H553" t="s">
        <v>1966</v>
      </c>
      <c r="L553" t="s">
        <v>1640</v>
      </c>
    </row>
    <row r="554" spans="1:12">
      <c r="A554" t="s">
        <v>518</v>
      </c>
      <c r="B554" t="str">
        <f t="shared" si="16"/>
        <v>practices</v>
      </c>
      <c r="F554" s="64" t="s">
        <v>1576</v>
      </c>
      <c r="G554" t="str">
        <f t="shared" si="17"/>
        <v>renewable</v>
      </c>
      <c r="H554" t="s">
        <v>1576</v>
      </c>
      <c r="L554" t="s">
        <v>643</v>
      </c>
    </row>
    <row r="555" spans="1:12">
      <c r="A555" t="s">
        <v>518</v>
      </c>
      <c r="B555" t="str">
        <f t="shared" si="16"/>
        <v>practices</v>
      </c>
      <c r="F555" s="64" t="s">
        <v>1967</v>
      </c>
      <c r="G555" t="str">
        <f t="shared" si="17"/>
        <v>residual porosity</v>
      </c>
      <c r="H555" t="s">
        <v>1967</v>
      </c>
      <c r="L555" t="s">
        <v>1967</v>
      </c>
    </row>
    <row r="556" spans="1:12">
      <c r="A556" t="s">
        <v>518</v>
      </c>
      <c r="B556" t="str">
        <f t="shared" si="16"/>
        <v>practices</v>
      </c>
      <c r="F556" s="64" t="s">
        <v>647</v>
      </c>
      <c r="G556" t="str">
        <f t="shared" si="17"/>
        <v>resilient breed</v>
      </c>
      <c r="H556" t="s">
        <v>647</v>
      </c>
      <c r="L556" t="s">
        <v>647</v>
      </c>
    </row>
    <row r="557" spans="1:12">
      <c r="A557" t="s">
        <v>1197</v>
      </c>
      <c r="B557" t="str">
        <f t="shared" si="16"/>
        <v>practices </v>
      </c>
      <c r="F557" s="64" t="s">
        <v>1550</v>
      </c>
      <c r="G557" t="str">
        <f t="shared" si="17"/>
        <v>resilient breed</v>
      </c>
      <c r="H557" t="s">
        <v>1550</v>
      </c>
      <c r="L557" t="s">
        <v>647</v>
      </c>
    </row>
    <row r="558" spans="1:12">
      <c r="A558" t="s">
        <v>1197</v>
      </c>
      <c r="B558" t="str">
        <f t="shared" si="16"/>
        <v>practices </v>
      </c>
      <c r="F558" s="64" t="s">
        <v>652</v>
      </c>
      <c r="G558" t="str">
        <f t="shared" si="17"/>
        <v>resource</v>
      </c>
      <c r="H558" t="s">
        <v>652</v>
      </c>
      <c r="L558" t="s">
        <v>652</v>
      </c>
    </row>
    <row r="559" spans="1:12">
      <c r="A559" t="s">
        <v>666</v>
      </c>
      <c r="B559" t="str">
        <f t="shared" si="16"/>
        <v>predator</v>
      </c>
      <c r="F559" s="64" t="s">
        <v>1555</v>
      </c>
      <c r="G559" t="str">
        <f t="shared" si="17"/>
        <v>resource</v>
      </c>
      <c r="H559" t="s">
        <v>1555</v>
      </c>
      <c r="L559" t="s">
        <v>652</v>
      </c>
    </row>
    <row r="560" spans="1:12">
      <c r="A560" t="s">
        <v>515</v>
      </c>
      <c r="B560" t="str">
        <f t="shared" si="16"/>
        <v>preservation</v>
      </c>
      <c r="F560" s="64" t="s">
        <v>508</v>
      </c>
      <c r="G560" t="str">
        <f t="shared" si="17"/>
        <v>respectable</v>
      </c>
      <c r="H560" t="s">
        <v>508</v>
      </c>
      <c r="L560" t="s">
        <v>508</v>
      </c>
    </row>
    <row r="561" spans="1:12">
      <c r="A561" t="s">
        <v>515</v>
      </c>
      <c r="B561" t="str">
        <f t="shared" si="16"/>
        <v>preservation</v>
      </c>
      <c r="F561" s="72" t="s">
        <v>508</v>
      </c>
      <c r="G561" t="str">
        <f t="shared" si="17"/>
        <v>respectable</v>
      </c>
      <c r="H561" t="s">
        <v>508</v>
      </c>
      <c r="L561" t="s">
        <v>508</v>
      </c>
    </row>
    <row r="562" spans="1:12">
      <c r="A562" t="s">
        <v>1441</v>
      </c>
      <c r="B562" t="str">
        <f t="shared" si="16"/>
        <v>preservation</v>
      </c>
      <c r="F562" s="64" t="s">
        <v>1187</v>
      </c>
      <c r="G562" t="str">
        <f t="shared" si="17"/>
        <v>respectable</v>
      </c>
      <c r="H562" t="s">
        <v>1187</v>
      </c>
      <c r="L562" t="s">
        <v>508</v>
      </c>
    </row>
    <row r="563" spans="1:12">
      <c r="A563" t="s">
        <v>1194</v>
      </c>
      <c r="B563" t="str">
        <f t="shared" si="16"/>
        <v>preservation </v>
      </c>
      <c r="F563" s="64" t="s">
        <v>1187</v>
      </c>
      <c r="G563" t="str">
        <f t="shared" si="17"/>
        <v>respectable</v>
      </c>
      <c r="H563" t="s">
        <v>1187</v>
      </c>
      <c r="L563" t="s">
        <v>508</v>
      </c>
    </row>
    <row r="564" spans="1:12">
      <c r="A564" t="s">
        <v>1194</v>
      </c>
      <c r="B564" t="str">
        <f t="shared" si="16"/>
        <v>preservation </v>
      </c>
      <c r="F564" s="64" t="s">
        <v>1968</v>
      </c>
      <c r="G564" t="str">
        <f t="shared" si="17"/>
        <v>restoration</v>
      </c>
      <c r="H564" t="s">
        <v>1968</v>
      </c>
      <c r="L564" t="s">
        <v>1968</v>
      </c>
    </row>
    <row r="565" spans="1:12">
      <c r="A565" t="s">
        <v>1403</v>
      </c>
      <c r="B565" t="str">
        <f t="shared" si="16"/>
        <v>preservation </v>
      </c>
      <c r="F565" s="64" t="s">
        <v>1969</v>
      </c>
      <c r="G565" t="str">
        <f t="shared" si="17"/>
        <v>restoration</v>
      </c>
      <c r="H565" t="s">
        <v>1969</v>
      </c>
      <c r="L565" t="s">
        <v>1968</v>
      </c>
    </row>
    <row r="566" spans="1:12">
      <c r="A566" t="s">
        <v>631</v>
      </c>
      <c r="B566" t="str">
        <f t="shared" si="16"/>
        <v>preventative</v>
      </c>
      <c r="F566" s="64" t="s">
        <v>640</v>
      </c>
      <c r="G566" t="str">
        <f t="shared" si="17"/>
        <v>retention</v>
      </c>
      <c r="H566" t="s">
        <v>640</v>
      </c>
      <c r="L566" t="s">
        <v>640</v>
      </c>
    </row>
    <row r="567" spans="1:12">
      <c r="A567" t="s">
        <v>631</v>
      </c>
      <c r="B567" t="str">
        <f t="shared" si="16"/>
        <v>preventative</v>
      </c>
      <c r="F567" s="64" t="s">
        <v>1573</v>
      </c>
      <c r="G567" t="str">
        <f t="shared" si="17"/>
        <v>retention</v>
      </c>
      <c r="H567" t="s">
        <v>1573</v>
      </c>
      <c r="L567" t="s">
        <v>640</v>
      </c>
    </row>
    <row r="568" spans="1:12">
      <c r="A568" t="s">
        <v>1564</v>
      </c>
      <c r="B568" t="str">
        <f t="shared" si="16"/>
        <v>preventative </v>
      </c>
      <c r="F568" s="64" t="s">
        <v>585</v>
      </c>
      <c r="G568" t="str">
        <f t="shared" si="17"/>
        <v>reusable</v>
      </c>
      <c r="H568" t="s">
        <v>585</v>
      </c>
      <c r="L568" t="s">
        <v>585</v>
      </c>
    </row>
    <row r="569" spans="1:12">
      <c r="A569" t="s">
        <v>632</v>
      </c>
      <c r="B569" t="str">
        <f t="shared" si="16"/>
        <v>preventive</v>
      </c>
      <c r="F569" s="64" t="s">
        <v>1319</v>
      </c>
      <c r="G569" t="str">
        <f t="shared" si="17"/>
        <v>reusable</v>
      </c>
      <c r="H569" t="s">
        <v>1319</v>
      </c>
      <c r="L569" t="s">
        <v>585</v>
      </c>
    </row>
    <row r="570" spans="1:12">
      <c r="A570" t="s">
        <v>632</v>
      </c>
      <c r="B570" t="str">
        <f t="shared" si="16"/>
        <v>preventive</v>
      </c>
      <c r="F570" s="64" t="s">
        <v>580</v>
      </c>
      <c r="G570" t="str">
        <f t="shared" si="17"/>
        <v>reuse</v>
      </c>
      <c r="H570" t="s">
        <v>580</v>
      </c>
      <c r="L570" t="s">
        <v>580</v>
      </c>
    </row>
    <row r="571" spans="1:12">
      <c r="A571" t="s">
        <v>1565</v>
      </c>
      <c r="B571" t="str">
        <f t="shared" si="16"/>
        <v>preventive </v>
      </c>
      <c r="F571" s="64" t="s">
        <v>1320</v>
      </c>
      <c r="G571" t="str">
        <f t="shared" si="17"/>
        <v>reuse</v>
      </c>
      <c r="H571" t="s">
        <v>1320</v>
      </c>
      <c r="L571" t="s">
        <v>580</v>
      </c>
    </row>
    <row r="572" spans="1:12">
      <c r="A572" t="s">
        <v>1723</v>
      </c>
      <c r="B572" t="str">
        <f t="shared" si="16"/>
        <v>price </v>
      </c>
      <c r="F572" s="64" t="s">
        <v>498</v>
      </c>
      <c r="G572" t="str">
        <f t="shared" si="17"/>
        <v>rights</v>
      </c>
      <c r="H572" t="s">
        <v>498</v>
      </c>
      <c r="L572" t="s">
        <v>498</v>
      </c>
    </row>
    <row r="573" spans="1:12">
      <c r="A573" t="s">
        <v>1028</v>
      </c>
      <c r="B573" t="str">
        <f t="shared" si="16"/>
        <v>prices</v>
      </c>
      <c r="F573" s="64" t="s">
        <v>498</v>
      </c>
      <c r="G573" t="str">
        <f t="shared" si="17"/>
        <v>rights</v>
      </c>
      <c r="H573" t="s">
        <v>498</v>
      </c>
      <c r="L573" t="s">
        <v>498</v>
      </c>
    </row>
    <row r="574" spans="1:12">
      <c r="A574" t="s">
        <v>1743</v>
      </c>
      <c r="B574" t="str">
        <f t="shared" si="16"/>
        <v>processing </v>
      </c>
      <c r="F574" s="64" t="s">
        <v>1199</v>
      </c>
      <c r="G574" t="str">
        <f t="shared" si="17"/>
        <v>rights</v>
      </c>
      <c r="H574" t="s">
        <v>1199</v>
      </c>
      <c r="L574" t="s">
        <v>498</v>
      </c>
    </row>
    <row r="575" spans="1:12">
      <c r="A575" t="s">
        <v>522</v>
      </c>
      <c r="B575" t="str">
        <f t="shared" si="16"/>
        <v>procurement</v>
      </c>
      <c r="F575" s="64" t="s">
        <v>1199</v>
      </c>
      <c r="G575" t="str">
        <f t="shared" si="17"/>
        <v>rights</v>
      </c>
      <c r="H575" t="s">
        <v>1199</v>
      </c>
      <c r="L575" t="s">
        <v>498</v>
      </c>
    </row>
    <row r="576" spans="1:12">
      <c r="A576" t="s">
        <v>1256</v>
      </c>
      <c r="B576" t="str">
        <f t="shared" si="16"/>
        <v>procurement </v>
      </c>
      <c r="F576" s="64" t="s">
        <v>1199</v>
      </c>
      <c r="G576" t="str">
        <f t="shared" si="17"/>
        <v>rights</v>
      </c>
      <c r="H576" t="s">
        <v>1199</v>
      </c>
      <c r="L576" t="s">
        <v>498</v>
      </c>
    </row>
    <row r="577" spans="1:12">
      <c r="A577" t="s">
        <v>1744</v>
      </c>
      <c r="B577" t="str">
        <f t="shared" si="16"/>
        <v>producer-consumer </v>
      </c>
      <c r="F577" s="64" t="s">
        <v>1718</v>
      </c>
      <c r="G577" t="str">
        <f t="shared" si="17"/>
        <v>root depth</v>
      </c>
      <c r="H577" t="s">
        <v>1718</v>
      </c>
      <c r="L577" t="s">
        <v>1718</v>
      </c>
    </row>
    <row r="578" spans="1:12">
      <c r="A578" t="s">
        <v>514</v>
      </c>
      <c r="B578" t="str">
        <f t="shared" ref="B578:B641" si="18">LOWER(A578)</f>
        <v>protection</v>
      </c>
      <c r="F578" s="64" t="s">
        <v>1970</v>
      </c>
      <c r="G578" t="str">
        <f t="shared" ref="G578:G641" si="19">TRIM(SUBSTITUTE(F578,CHAR(160)," "))</f>
        <v>root pathogen pressure</v>
      </c>
      <c r="H578" t="s">
        <v>1970</v>
      </c>
      <c r="L578" t="s">
        <v>1970</v>
      </c>
    </row>
    <row r="579" spans="1:12">
      <c r="A579" t="s">
        <v>514</v>
      </c>
      <c r="B579" t="str">
        <f t="shared" si="18"/>
        <v>protection</v>
      </c>
      <c r="F579" s="64" t="s">
        <v>610</v>
      </c>
      <c r="G579" t="str">
        <f t="shared" si="19"/>
        <v>rotation</v>
      </c>
      <c r="H579" t="s">
        <v>610</v>
      </c>
      <c r="L579" t="s">
        <v>610</v>
      </c>
    </row>
    <row r="580" spans="1:12">
      <c r="A580" t="s">
        <v>1193</v>
      </c>
      <c r="B580" t="str">
        <f t="shared" si="18"/>
        <v>protection </v>
      </c>
      <c r="F580" s="65" t="s">
        <v>1296</v>
      </c>
      <c r="G580" t="str">
        <f t="shared" si="19"/>
        <v>rotation</v>
      </c>
      <c r="H580" t="s">
        <v>1296</v>
      </c>
      <c r="L580" t="s">
        <v>610</v>
      </c>
    </row>
    <row r="581" spans="1:12">
      <c r="A581" t="s">
        <v>1193</v>
      </c>
      <c r="B581" t="str">
        <f t="shared" si="18"/>
        <v>protection </v>
      </c>
      <c r="F581" s="65" t="s">
        <v>1296</v>
      </c>
      <c r="G581" t="str">
        <f t="shared" si="19"/>
        <v>rotation</v>
      </c>
      <c r="H581" t="s">
        <v>1296</v>
      </c>
      <c r="L581" t="s">
        <v>610</v>
      </c>
    </row>
    <row r="582" spans="1:12">
      <c r="A582" t="s">
        <v>1621</v>
      </c>
      <c r="B582" t="str">
        <f t="shared" si="18"/>
        <v>purchase seed</v>
      </c>
      <c r="F582" s="64" t="s">
        <v>1971</v>
      </c>
      <c r="G582" t="str">
        <f t="shared" si="19"/>
        <v>rotational grazing</v>
      </c>
      <c r="H582" t="s">
        <v>1971</v>
      </c>
      <c r="L582" t="s">
        <v>1971</v>
      </c>
    </row>
    <row r="583" spans="1:12">
      <c r="A583" s="55" t="s">
        <v>1760</v>
      </c>
      <c r="B583" t="str">
        <f t="shared" si="18"/>
        <v>purchase seed </v>
      </c>
      <c r="F583" s="64" t="s">
        <v>1972</v>
      </c>
      <c r="G583" t="str">
        <f t="shared" si="19"/>
        <v>rotational grazing</v>
      </c>
      <c r="H583" t="s">
        <v>1972</v>
      </c>
      <c r="L583" t="s">
        <v>1971</v>
      </c>
    </row>
    <row r="584" spans="1:12">
      <c r="A584" t="s">
        <v>1422</v>
      </c>
      <c r="B584" t="str">
        <f t="shared" si="18"/>
        <v>push-pull</v>
      </c>
      <c r="F584" s="64" t="s">
        <v>517</v>
      </c>
      <c r="G584" t="str">
        <f t="shared" si="19"/>
        <v>safeguarding</v>
      </c>
      <c r="H584" t="s">
        <v>517</v>
      </c>
      <c r="L584" t="s">
        <v>517</v>
      </c>
    </row>
    <row r="585" spans="1:12">
      <c r="A585" t="s">
        <v>1396</v>
      </c>
      <c r="B585" t="str">
        <f t="shared" si="18"/>
        <v>push-pull </v>
      </c>
      <c r="F585" s="64" t="s">
        <v>517</v>
      </c>
      <c r="G585" t="str">
        <f t="shared" si="19"/>
        <v>safeguarding</v>
      </c>
      <c r="H585" t="s">
        <v>517</v>
      </c>
      <c r="L585" t="s">
        <v>517</v>
      </c>
    </row>
    <row r="586" spans="1:12">
      <c r="A586" t="s">
        <v>509</v>
      </c>
      <c r="B586" t="str">
        <f t="shared" si="18"/>
        <v>quality</v>
      </c>
      <c r="F586" s="64" t="s">
        <v>1196</v>
      </c>
      <c r="G586" t="str">
        <f t="shared" si="19"/>
        <v>safeguarding</v>
      </c>
      <c r="H586" t="s">
        <v>1196</v>
      </c>
      <c r="L586" t="s">
        <v>517</v>
      </c>
    </row>
    <row r="587" spans="1:12">
      <c r="A587" t="s">
        <v>509</v>
      </c>
      <c r="B587" t="str">
        <f t="shared" si="18"/>
        <v>quality</v>
      </c>
      <c r="F587" s="64" t="s">
        <v>1196</v>
      </c>
      <c r="G587" t="str">
        <f t="shared" si="19"/>
        <v>safeguarding</v>
      </c>
      <c r="H587" t="s">
        <v>1196</v>
      </c>
      <c r="L587" t="s">
        <v>517</v>
      </c>
    </row>
    <row r="588" spans="1:12">
      <c r="A588" t="s">
        <v>1188</v>
      </c>
      <c r="B588" t="str">
        <f t="shared" si="18"/>
        <v>quality </v>
      </c>
      <c r="F588" s="64" t="s">
        <v>1973</v>
      </c>
      <c r="G588" t="str">
        <f t="shared" si="19"/>
        <v>salary</v>
      </c>
      <c r="H588" t="s">
        <v>1973</v>
      </c>
      <c r="L588" t="s">
        <v>2080</v>
      </c>
    </row>
    <row r="589" spans="1:12">
      <c r="A589" t="s">
        <v>1188</v>
      </c>
      <c r="B589" t="str">
        <f t="shared" si="18"/>
        <v>quality </v>
      </c>
      <c r="F589" s="64" t="s">
        <v>1974</v>
      </c>
      <c r="G589" t="str">
        <f t="shared" si="19"/>
        <v>salinity</v>
      </c>
      <c r="H589" t="s">
        <v>1974</v>
      </c>
      <c r="L589" t="s">
        <v>1974</v>
      </c>
    </row>
    <row r="590" spans="1:12">
      <c r="A590" t="s">
        <v>1671</v>
      </c>
      <c r="B590" t="str">
        <f t="shared" si="18"/>
        <v>race</v>
      </c>
      <c r="F590" s="64" t="s">
        <v>1975</v>
      </c>
      <c r="G590" t="str">
        <f t="shared" si="19"/>
        <v>saturated hydraulic conductivity</v>
      </c>
      <c r="H590" t="s">
        <v>1975</v>
      </c>
      <c r="L590" t="s">
        <v>1975</v>
      </c>
    </row>
    <row r="591" spans="1:12">
      <c r="A591" t="s">
        <v>1670</v>
      </c>
      <c r="B591" t="str">
        <f t="shared" si="18"/>
        <v>racial</v>
      </c>
      <c r="F591" s="64" t="s">
        <v>1976</v>
      </c>
      <c r="G591" t="str">
        <f t="shared" si="19"/>
        <v>school feeding</v>
      </c>
      <c r="H591" t="s">
        <v>1976</v>
      </c>
      <c r="L591" t="s">
        <v>2081</v>
      </c>
    </row>
    <row r="592" spans="1:12">
      <c r="A592" t="s">
        <v>1682</v>
      </c>
      <c r="B592" t="str">
        <f t="shared" si="18"/>
        <v>racial inequity</v>
      </c>
      <c r="F592" s="64" t="s">
        <v>1977</v>
      </c>
      <c r="G592" t="str">
        <f t="shared" si="19"/>
        <v>science-policy</v>
      </c>
      <c r="H592" t="s">
        <v>1977</v>
      </c>
      <c r="L592" t="s">
        <v>2082</v>
      </c>
    </row>
    <row r="593" spans="1:12">
      <c r="A593" t="s">
        <v>1048</v>
      </c>
      <c r="B593" t="str">
        <f t="shared" si="18"/>
        <v>rainwater</v>
      </c>
      <c r="F593" s="64" t="s">
        <v>1622</v>
      </c>
      <c r="G593" t="str">
        <f t="shared" si="19"/>
        <v>seed banks</v>
      </c>
      <c r="H593" t="s">
        <v>1622</v>
      </c>
      <c r="L593" t="s">
        <v>1622</v>
      </c>
    </row>
    <row r="594" spans="1:12">
      <c r="A594" t="s">
        <v>1644</v>
      </c>
      <c r="B594" t="str">
        <f t="shared" si="18"/>
        <v>rainwater harvesting</v>
      </c>
      <c r="F594" s="65" t="s">
        <v>1978</v>
      </c>
      <c r="G594" t="str">
        <f t="shared" si="19"/>
        <v>seed banks</v>
      </c>
      <c r="H594" t="s">
        <v>1978</v>
      </c>
      <c r="L594" t="s">
        <v>1622</v>
      </c>
    </row>
    <row r="595" spans="1:12">
      <c r="A595" s="55" t="s">
        <v>1332</v>
      </c>
      <c r="B595" t="str">
        <f t="shared" si="18"/>
        <v>rainwater harvesting </v>
      </c>
      <c r="F595" s="64" t="s">
        <v>1979</v>
      </c>
      <c r="G595" t="str">
        <f t="shared" si="19"/>
        <v>seed sav</v>
      </c>
      <c r="H595" t="s">
        <v>1979</v>
      </c>
      <c r="L595" t="s">
        <v>2083</v>
      </c>
    </row>
    <row r="596" spans="1:12">
      <c r="A596" t="s">
        <v>481</v>
      </c>
      <c r="B596" t="str">
        <f t="shared" si="18"/>
        <v>reactive carbon</v>
      </c>
      <c r="F596" s="64" t="s">
        <v>1631</v>
      </c>
      <c r="G596" t="str">
        <f t="shared" si="19"/>
        <v>seed saving</v>
      </c>
      <c r="H596" t="s">
        <v>1631</v>
      </c>
      <c r="L596" t="s">
        <v>1631</v>
      </c>
    </row>
    <row r="597" spans="1:12">
      <c r="A597" t="s">
        <v>582</v>
      </c>
      <c r="B597" t="str">
        <f t="shared" si="18"/>
        <v>reclamation</v>
      </c>
      <c r="F597" s="66" t="s">
        <v>1674</v>
      </c>
      <c r="G597" t="str">
        <f t="shared" si="19"/>
        <v>self-organisation</v>
      </c>
      <c r="H597" t="s">
        <v>1674</v>
      </c>
      <c r="L597" t="s">
        <v>1674</v>
      </c>
    </row>
    <row r="598" spans="1:12">
      <c r="A598" t="s">
        <v>582</v>
      </c>
      <c r="B598" t="str">
        <f t="shared" si="18"/>
        <v>reclamation</v>
      </c>
      <c r="F598" s="64" t="s">
        <v>1980</v>
      </c>
      <c r="G598" t="str">
        <f t="shared" si="19"/>
        <v>self-organisation</v>
      </c>
      <c r="H598" t="s">
        <v>1980</v>
      </c>
      <c r="L598" t="s">
        <v>1674</v>
      </c>
    </row>
    <row r="599" spans="1:12">
      <c r="A599" t="s">
        <v>1325</v>
      </c>
      <c r="B599" t="str">
        <f t="shared" si="18"/>
        <v>reclamation </v>
      </c>
      <c r="F599" s="64" t="s">
        <v>1981</v>
      </c>
      <c r="G599" t="str">
        <f t="shared" si="19"/>
        <v>sell animal products</v>
      </c>
      <c r="H599" t="s">
        <v>1981</v>
      </c>
      <c r="L599" t="s">
        <v>2084</v>
      </c>
    </row>
    <row r="600" spans="1:12">
      <c r="A600" t="s">
        <v>574</v>
      </c>
      <c r="B600" t="str">
        <f t="shared" si="18"/>
        <v>recovery</v>
      </c>
      <c r="F600" s="64" t="s">
        <v>1982</v>
      </c>
      <c r="G600" t="str">
        <f t="shared" si="19"/>
        <v>sell charcoal</v>
      </c>
      <c r="H600" t="s">
        <v>1982</v>
      </c>
      <c r="L600" t="s">
        <v>2085</v>
      </c>
    </row>
    <row r="601" spans="1:12">
      <c r="A601" t="s">
        <v>574</v>
      </c>
      <c r="B601" t="str">
        <f t="shared" si="18"/>
        <v>recovery</v>
      </c>
      <c r="F601" s="64" t="s">
        <v>1983</v>
      </c>
      <c r="G601" t="str">
        <f t="shared" si="19"/>
        <v>sell eggs</v>
      </c>
      <c r="H601" t="s">
        <v>1983</v>
      </c>
      <c r="L601" t="s">
        <v>2086</v>
      </c>
    </row>
    <row r="602" spans="1:12">
      <c r="A602" s="55" t="s">
        <v>1326</v>
      </c>
      <c r="B602" t="str">
        <f t="shared" si="18"/>
        <v>recovery </v>
      </c>
      <c r="F602" s="64" t="s">
        <v>1984</v>
      </c>
      <c r="G602" t="str">
        <f t="shared" si="19"/>
        <v>sell firewood</v>
      </c>
      <c r="H602" t="s">
        <v>1984</v>
      </c>
      <c r="L602" t="s">
        <v>2087</v>
      </c>
    </row>
    <row r="603" spans="1:12">
      <c r="A603" t="s">
        <v>586</v>
      </c>
      <c r="B603" t="str">
        <f t="shared" si="18"/>
        <v>recyclable</v>
      </c>
      <c r="F603" s="64" t="s">
        <v>1985</v>
      </c>
      <c r="G603" t="str">
        <f t="shared" si="19"/>
        <v>sell fruit</v>
      </c>
      <c r="H603" t="s">
        <v>1985</v>
      </c>
      <c r="L603" t="s">
        <v>2088</v>
      </c>
    </row>
    <row r="604" spans="1:12">
      <c r="A604" t="s">
        <v>586</v>
      </c>
      <c r="B604" t="str">
        <f t="shared" si="18"/>
        <v>recyclable</v>
      </c>
      <c r="F604" s="64" t="s">
        <v>1986</v>
      </c>
      <c r="G604" t="str">
        <f t="shared" si="19"/>
        <v>sell honey</v>
      </c>
      <c r="H604" t="s">
        <v>1986</v>
      </c>
      <c r="L604" t="s">
        <v>2089</v>
      </c>
    </row>
    <row r="605" spans="1:12">
      <c r="A605" t="s">
        <v>1317</v>
      </c>
      <c r="B605" t="str">
        <f t="shared" si="18"/>
        <v>recyclable </v>
      </c>
      <c r="F605" s="64" t="s">
        <v>1987</v>
      </c>
      <c r="G605" t="str">
        <f t="shared" si="19"/>
        <v>sell meat</v>
      </c>
      <c r="H605" t="s">
        <v>1987</v>
      </c>
      <c r="L605" t="s">
        <v>2090</v>
      </c>
    </row>
    <row r="606" spans="1:12" ht="16.8">
      <c r="A606" s="17" t="s">
        <v>657</v>
      </c>
      <c r="B606" t="str">
        <f t="shared" si="18"/>
        <v>recycling</v>
      </c>
      <c r="F606" s="64" t="s">
        <v>1988</v>
      </c>
      <c r="G606" t="str">
        <f t="shared" si="19"/>
        <v>sell milk</v>
      </c>
      <c r="H606" t="s">
        <v>1988</v>
      </c>
      <c r="L606" t="s">
        <v>2091</v>
      </c>
    </row>
    <row r="607" spans="1:12">
      <c r="A607" s="35" t="s">
        <v>657</v>
      </c>
      <c r="B607" t="str">
        <f t="shared" si="18"/>
        <v>recycling</v>
      </c>
      <c r="F607" s="64" t="s">
        <v>1989</v>
      </c>
      <c r="G607" t="str">
        <f t="shared" si="19"/>
        <v>sell timber</v>
      </c>
      <c r="H607" t="s">
        <v>1989</v>
      </c>
      <c r="L607" t="s">
        <v>2092</v>
      </c>
    </row>
    <row r="608" spans="1:12">
      <c r="A608" t="s">
        <v>1318</v>
      </c>
      <c r="B608" t="str">
        <f t="shared" si="18"/>
        <v>recycling </v>
      </c>
      <c r="F608" s="64" t="s">
        <v>1713</v>
      </c>
      <c r="G608" t="str">
        <f t="shared" si="19"/>
        <v>sensitisation</v>
      </c>
      <c r="H608" t="s">
        <v>1713</v>
      </c>
      <c r="L608" t="s">
        <v>1713</v>
      </c>
    </row>
    <row r="609" spans="1:12">
      <c r="A609" t="s">
        <v>615</v>
      </c>
      <c r="B609" t="str">
        <f t="shared" si="18"/>
        <v>redesign</v>
      </c>
      <c r="F609" s="64" t="s">
        <v>1990</v>
      </c>
      <c r="G609" t="str">
        <f t="shared" si="19"/>
        <v>sensitization</v>
      </c>
      <c r="H609" t="s">
        <v>1990</v>
      </c>
      <c r="L609" t="s">
        <v>2093</v>
      </c>
    </row>
    <row r="610" spans="1:12">
      <c r="A610" t="s">
        <v>1368</v>
      </c>
      <c r="B610" t="str">
        <f t="shared" si="18"/>
        <v>redesign </v>
      </c>
      <c r="F610" s="64" t="s">
        <v>1653</v>
      </c>
      <c r="G610" t="str">
        <f t="shared" si="19"/>
        <v>sequential cropping</v>
      </c>
      <c r="H610" t="s">
        <v>1653</v>
      </c>
      <c r="L610" t="s">
        <v>1653</v>
      </c>
    </row>
    <row r="611" spans="1:12">
      <c r="A611" t="s">
        <v>1661</v>
      </c>
      <c r="B611" t="str">
        <f t="shared" si="18"/>
        <v>reduced use of pesticides</v>
      </c>
      <c r="F611" s="65" t="s">
        <v>1991</v>
      </c>
      <c r="G611" t="str">
        <f t="shared" si="19"/>
        <v>sequential cropping</v>
      </c>
      <c r="H611" t="s">
        <v>1991</v>
      </c>
      <c r="L611" t="s">
        <v>1653</v>
      </c>
    </row>
    <row r="612" spans="1:12" ht="16.8">
      <c r="A612" s="17" t="s">
        <v>660</v>
      </c>
      <c r="B612" t="str">
        <f t="shared" si="18"/>
        <v>reduction</v>
      </c>
      <c r="F612" s="64" t="s">
        <v>1992</v>
      </c>
      <c r="G612" t="str">
        <f t="shared" si="19"/>
        <v>shade trees</v>
      </c>
      <c r="H612" t="s">
        <v>1992</v>
      </c>
      <c r="L612" t="s">
        <v>1992</v>
      </c>
    </row>
    <row r="613" spans="1:12">
      <c r="A613" t="s">
        <v>660</v>
      </c>
      <c r="B613" t="str">
        <f t="shared" si="18"/>
        <v>reduction</v>
      </c>
      <c r="F613" s="64" t="s">
        <v>1993</v>
      </c>
      <c r="G613" t="str">
        <f t="shared" si="19"/>
        <v>shade trees</v>
      </c>
      <c r="H613" t="s">
        <v>1993</v>
      </c>
      <c r="L613" t="s">
        <v>1992</v>
      </c>
    </row>
    <row r="614" spans="1:12">
      <c r="A614" t="s">
        <v>1563</v>
      </c>
      <c r="B614" t="str">
        <f t="shared" si="18"/>
        <v>reduction </v>
      </c>
      <c r="F614" s="64" t="s">
        <v>531</v>
      </c>
      <c r="G614" t="str">
        <f t="shared" si="19"/>
        <v>sharing</v>
      </c>
      <c r="H614" t="s">
        <v>531</v>
      </c>
      <c r="L614" t="s">
        <v>531</v>
      </c>
    </row>
    <row r="615" spans="1:12">
      <c r="A615" t="s">
        <v>1439</v>
      </c>
      <c r="B615" t="str">
        <f t="shared" si="18"/>
        <v>reforestation</v>
      </c>
      <c r="F615" s="67" t="s">
        <v>1450</v>
      </c>
      <c r="G615" t="str">
        <f t="shared" si="19"/>
        <v>sharing</v>
      </c>
      <c r="H615" t="s">
        <v>1450</v>
      </c>
      <c r="L615" t="s">
        <v>531</v>
      </c>
    </row>
    <row r="616" spans="1:12">
      <c r="A616" t="s">
        <v>1401</v>
      </c>
      <c r="B616" t="str">
        <f t="shared" si="18"/>
        <v>reforestation </v>
      </c>
      <c r="F616" s="64" t="s">
        <v>1994</v>
      </c>
      <c r="G616" t="str">
        <f t="shared" si="19"/>
        <v>silvopasture</v>
      </c>
      <c r="H616" t="s">
        <v>1994</v>
      </c>
      <c r="L616" t="s">
        <v>1994</v>
      </c>
    </row>
    <row r="617" spans="1:12">
      <c r="A617" t="s">
        <v>1421</v>
      </c>
      <c r="B617" t="str">
        <f t="shared" si="18"/>
        <v>regenerative</v>
      </c>
      <c r="F617" s="64" t="s">
        <v>1995</v>
      </c>
      <c r="G617" t="str">
        <f t="shared" si="19"/>
        <v>silvopasture</v>
      </c>
      <c r="H617" t="s">
        <v>1995</v>
      </c>
      <c r="L617" t="s">
        <v>1994</v>
      </c>
    </row>
    <row r="618" spans="1:12">
      <c r="A618" t="s">
        <v>1395</v>
      </c>
      <c r="B618" t="str">
        <f t="shared" si="18"/>
        <v>regenerative </v>
      </c>
      <c r="F618" s="64" t="s">
        <v>1710</v>
      </c>
      <c r="G618" t="str">
        <f t="shared" si="19"/>
        <v>situation-specific</v>
      </c>
      <c r="H618" t="s">
        <v>1710</v>
      </c>
      <c r="L618" t="s">
        <v>1710</v>
      </c>
    </row>
    <row r="619" spans="1:12">
      <c r="A619" t="s">
        <v>1262</v>
      </c>
      <c r="B619" t="str">
        <f t="shared" si="18"/>
        <v>regulations </v>
      </c>
      <c r="F619" s="73" t="s">
        <v>202</v>
      </c>
      <c r="G619" t="str">
        <f t="shared" si="19"/>
        <v>social</v>
      </c>
      <c r="H619" t="s">
        <v>202</v>
      </c>
      <c r="L619" t="s">
        <v>202</v>
      </c>
    </row>
    <row r="620" spans="1:12">
      <c r="A620" t="s">
        <v>551</v>
      </c>
      <c r="B620" t="str">
        <f t="shared" si="18"/>
        <v>relations</v>
      </c>
      <c r="F620" s="64" t="s">
        <v>1684</v>
      </c>
      <c r="G620" t="str">
        <f t="shared" si="19"/>
        <v>social innovations</v>
      </c>
      <c r="H620" t="s">
        <v>1684</v>
      </c>
      <c r="L620" t="s">
        <v>1684</v>
      </c>
    </row>
    <row r="621" spans="1:12">
      <c r="A621" t="s">
        <v>1506</v>
      </c>
      <c r="B621" t="str">
        <f t="shared" si="18"/>
        <v>relations </v>
      </c>
      <c r="F621" s="72" t="s">
        <v>501</v>
      </c>
      <c r="G621" t="str">
        <f t="shared" si="19"/>
        <v>social just</v>
      </c>
      <c r="H621" t="s">
        <v>501</v>
      </c>
      <c r="L621" t="s">
        <v>501</v>
      </c>
    </row>
    <row r="622" spans="1:12">
      <c r="A622" t="s">
        <v>545</v>
      </c>
      <c r="B622" t="str">
        <f t="shared" si="18"/>
        <v>relevant</v>
      </c>
      <c r="F622" s="64" t="s">
        <v>1184</v>
      </c>
      <c r="G622" t="str">
        <f t="shared" si="19"/>
        <v>social just</v>
      </c>
      <c r="H622" t="s">
        <v>1184</v>
      </c>
      <c r="L622" t="s">
        <v>501</v>
      </c>
    </row>
    <row r="623" spans="1:12">
      <c r="A623" t="s">
        <v>545</v>
      </c>
      <c r="B623" t="str">
        <f t="shared" si="18"/>
        <v>relevant</v>
      </c>
      <c r="F623" s="64" t="s">
        <v>1707</v>
      </c>
      <c r="G623" t="str">
        <f t="shared" si="19"/>
        <v>social justice</v>
      </c>
      <c r="H623" t="s">
        <v>1707</v>
      </c>
      <c r="L623" t="s">
        <v>1707</v>
      </c>
    </row>
    <row r="624" spans="1:12">
      <c r="A624" t="s">
        <v>1536</v>
      </c>
      <c r="B624" t="str">
        <f t="shared" si="18"/>
        <v>relevant </v>
      </c>
      <c r="F624" s="64" t="s">
        <v>1996</v>
      </c>
      <c r="G624" t="str">
        <f t="shared" si="19"/>
        <v>social media group</v>
      </c>
      <c r="H624" t="s">
        <v>1996</v>
      </c>
      <c r="L624" t="s">
        <v>2094</v>
      </c>
    </row>
    <row r="625" spans="1:12">
      <c r="A625" t="s">
        <v>643</v>
      </c>
      <c r="B625" t="str">
        <f t="shared" si="18"/>
        <v>renewable</v>
      </c>
      <c r="F625" s="66" t="s">
        <v>1678</v>
      </c>
      <c r="G625" t="str">
        <f t="shared" si="19"/>
        <v>social values</v>
      </c>
      <c r="H625" t="s">
        <v>1678</v>
      </c>
      <c r="L625" t="s">
        <v>1678</v>
      </c>
    </row>
    <row r="626" spans="1:12">
      <c r="A626" t="s">
        <v>643</v>
      </c>
      <c r="B626" t="str">
        <f t="shared" si="18"/>
        <v>renewable</v>
      </c>
      <c r="F626" s="64" t="s">
        <v>1442</v>
      </c>
      <c r="G626" t="str">
        <f t="shared" si="19"/>
        <v>social</v>
      </c>
      <c r="H626" t="s">
        <v>1442</v>
      </c>
      <c r="L626" t="s">
        <v>202</v>
      </c>
    </row>
    <row r="627" spans="1:12">
      <c r="A627" s="35" t="s">
        <v>1640</v>
      </c>
      <c r="B627" t="str">
        <f t="shared" si="18"/>
        <v>renewable energy</v>
      </c>
      <c r="F627" s="64" t="s">
        <v>1492</v>
      </c>
      <c r="G627" t="str">
        <f t="shared" si="19"/>
        <v>socially just</v>
      </c>
      <c r="H627" t="s">
        <v>1492</v>
      </c>
      <c r="L627" t="s">
        <v>1492</v>
      </c>
    </row>
    <row r="628" spans="1:12">
      <c r="A628" s="55" t="s">
        <v>1761</v>
      </c>
      <c r="B628" t="str">
        <f t="shared" si="18"/>
        <v>renewable energy </v>
      </c>
      <c r="F628" s="64" t="s">
        <v>1997</v>
      </c>
      <c r="G628" t="str">
        <f t="shared" si="19"/>
        <v>sodicity</v>
      </c>
      <c r="H628" t="s">
        <v>1997</v>
      </c>
      <c r="L628" t="s">
        <v>1997</v>
      </c>
    </row>
    <row r="629" spans="1:12">
      <c r="A629" t="s">
        <v>1576</v>
      </c>
      <c r="B629" t="str">
        <f t="shared" si="18"/>
        <v>renewable </v>
      </c>
      <c r="F629" s="73" t="s">
        <v>658</v>
      </c>
      <c r="G629" t="str">
        <f t="shared" si="19"/>
        <v>soil</v>
      </c>
      <c r="H629" t="s">
        <v>658</v>
      </c>
      <c r="L629" t="s">
        <v>658</v>
      </c>
    </row>
    <row r="630" spans="1:12">
      <c r="A630" t="s">
        <v>445</v>
      </c>
      <c r="B630" t="str">
        <f t="shared" si="18"/>
        <v>residual porosity</v>
      </c>
      <c r="F630" s="64" t="s">
        <v>599</v>
      </c>
      <c r="G630" t="str">
        <f t="shared" si="19"/>
        <v>soil amendment</v>
      </c>
      <c r="H630" t="s">
        <v>599</v>
      </c>
      <c r="L630" t="s">
        <v>599</v>
      </c>
    </row>
    <row r="631" spans="1:12">
      <c r="A631" t="s">
        <v>647</v>
      </c>
      <c r="B631" t="str">
        <f t="shared" si="18"/>
        <v>resilient breed</v>
      </c>
      <c r="F631" s="64" t="s">
        <v>599</v>
      </c>
      <c r="G631" t="str">
        <f t="shared" si="19"/>
        <v>soil amendment</v>
      </c>
      <c r="H631" t="s">
        <v>599</v>
      </c>
      <c r="L631" t="s">
        <v>599</v>
      </c>
    </row>
    <row r="632" spans="1:12">
      <c r="A632" t="s">
        <v>647</v>
      </c>
      <c r="B632" t="str">
        <f t="shared" si="18"/>
        <v>resilient breed</v>
      </c>
      <c r="F632" s="65" t="s">
        <v>1346</v>
      </c>
      <c r="G632" t="str">
        <f t="shared" si="19"/>
        <v>soil amendment</v>
      </c>
      <c r="H632" t="s">
        <v>1346</v>
      </c>
      <c r="L632" t="s">
        <v>599</v>
      </c>
    </row>
    <row r="633" spans="1:12">
      <c r="A633" t="s">
        <v>1550</v>
      </c>
      <c r="B633" t="str">
        <f t="shared" si="18"/>
        <v>resilient breed </v>
      </c>
      <c r="F633" s="64" t="s">
        <v>597</v>
      </c>
      <c r="G633" t="str">
        <f t="shared" si="19"/>
        <v>soil cover</v>
      </c>
      <c r="H633" t="s">
        <v>597</v>
      </c>
      <c r="L633" t="s">
        <v>597</v>
      </c>
    </row>
    <row r="634" spans="1:12">
      <c r="A634" t="s">
        <v>652</v>
      </c>
      <c r="B634" t="str">
        <f t="shared" si="18"/>
        <v>resource</v>
      </c>
      <c r="F634" s="64" t="s">
        <v>597</v>
      </c>
      <c r="G634" t="str">
        <f t="shared" si="19"/>
        <v>soil cover</v>
      </c>
      <c r="H634" t="s">
        <v>597</v>
      </c>
      <c r="L634" t="s">
        <v>597</v>
      </c>
    </row>
    <row r="635" spans="1:12">
      <c r="A635" t="s">
        <v>652</v>
      </c>
      <c r="B635" t="str">
        <f t="shared" si="18"/>
        <v>resource</v>
      </c>
      <c r="F635" s="65" t="s">
        <v>1355</v>
      </c>
      <c r="G635" t="str">
        <f t="shared" si="19"/>
        <v>soil cover</v>
      </c>
      <c r="H635" t="s">
        <v>1355</v>
      </c>
      <c r="L635" t="s">
        <v>597</v>
      </c>
    </row>
    <row r="636" spans="1:12">
      <c r="A636" t="s">
        <v>1555</v>
      </c>
      <c r="B636" t="str">
        <f t="shared" si="18"/>
        <v>resource </v>
      </c>
      <c r="F636" s="64" t="s">
        <v>1998</v>
      </c>
      <c r="G636" t="str">
        <f t="shared" si="19"/>
        <v>soil crusting and compaction</v>
      </c>
      <c r="H636" t="s">
        <v>1998</v>
      </c>
      <c r="L636" t="s">
        <v>1998</v>
      </c>
    </row>
    <row r="637" spans="1:12">
      <c r="A637" t="s">
        <v>508</v>
      </c>
      <c r="B637" t="str">
        <f t="shared" si="18"/>
        <v>respectable</v>
      </c>
      <c r="F637" s="64" t="s">
        <v>1715</v>
      </c>
      <c r="G637" t="str">
        <f t="shared" si="19"/>
        <v>soil depth</v>
      </c>
      <c r="H637" t="s">
        <v>1715</v>
      </c>
      <c r="L637" t="s">
        <v>1715</v>
      </c>
    </row>
    <row r="638" spans="1:12">
      <c r="A638" s="10" t="s">
        <v>508</v>
      </c>
      <c r="B638" t="str">
        <f t="shared" si="18"/>
        <v>respectable</v>
      </c>
      <c r="F638" s="64" t="s">
        <v>1999</v>
      </c>
      <c r="G638" t="str">
        <f t="shared" si="19"/>
        <v>soil enzymes</v>
      </c>
      <c r="H638" t="s">
        <v>1999</v>
      </c>
      <c r="L638" t="s">
        <v>1999</v>
      </c>
    </row>
    <row r="639" spans="1:12">
      <c r="A639" t="s">
        <v>1187</v>
      </c>
      <c r="B639" t="str">
        <f t="shared" si="18"/>
        <v>respectable </v>
      </c>
      <c r="F639" s="64" t="s">
        <v>2000</v>
      </c>
      <c r="G639" t="str">
        <f t="shared" si="19"/>
        <v>soil ph</v>
      </c>
      <c r="H639" t="s">
        <v>2000</v>
      </c>
      <c r="L639" t="s">
        <v>2000</v>
      </c>
    </row>
    <row r="640" spans="1:12">
      <c r="A640" t="s">
        <v>1187</v>
      </c>
      <c r="B640" t="str">
        <f t="shared" si="18"/>
        <v>respectable </v>
      </c>
      <c r="F640" s="64" t="s">
        <v>2001</v>
      </c>
      <c r="G640" t="str">
        <f t="shared" si="19"/>
        <v>soil proteins</v>
      </c>
      <c r="H640" t="s">
        <v>2001</v>
      </c>
      <c r="L640" t="s">
        <v>2001</v>
      </c>
    </row>
    <row r="641" spans="1:12">
      <c r="A641" t="s">
        <v>1440</v>
      </c>
      <c r="B641" t="str">
        <f t="shared" si="18"/>
        <v>restoration</v>
      </c>
      <c r="F641" s="65" t="s">
        <v>2002</v>
      </c>
      <c r="G641" t="str">
        <f t="shared" si="19"/>
        <v>soil quality</v>
      </c>
      <c r="H641" t="s">
        <v>2002</v>
      </c>
      <c r="L641" t="s">
        <v>2095</v>
      </c>
    </row>
    <row r="642" spans="1:12">
      <c r="A642" t="s">
        <v>1402</v>
      </c>
      <c r="B642" t="str">
        <f t="shared" ref="B642:B705" si="20">LOWER(A642)</f>
        <v>restoration </v>
      </c>
      <c r="F642" s="64" t="s">
        <v>2003</v>
      </c>
      <c r="G642" t="str">
        <f t="shared" ref="G642:G705" si="21">TRIM(SUBSTITUTE(F642,CHAR(160)," "))</f>
        <v>soil respiration rate</v>
      </c>
      <c r="H642" t="s">
        <v>2003</v>
      </c>
      <c r="L642" t="s">
        <v>2003</v>
      </c>
    </row>
    <row r="643" spans="1:12">
      <c r="A643" t="s">
        <v>640</v>
      </c>
      <c r="B643" t="str">
        <f t="shared" si="20"/>
        <v>retention</v>
      </c>
      <c r="F643" s="64" t="s">
        <v>2004</v>
      </c>
      <c r="G643" t="str">
        <f t="shared" si="21"/>
        <v>soil structure and macroporosity</v>
      </c>
      <c r="H643" t="s">
        <v>2004</v>
      </c>
      <c r="L643" t="s">
        <v>2004</v>
      </c>
    </row>
    <row r="644" spans="1:12">
      <c r="A644" t="s">
        <v>640</v>
      </c>
      <c r="B644" t="str">
        <f t="shared" si="20"/>
        <v>retention</v>
      </c>
      <c r="F644" s="65" t="s">
        <v>1349</v>
      </c>
      <c r="G644" t="str">
        <f t="shared" si="21"/>
        <v>soil</v>
      </c>
      <c r="H644" t="s">
        <v>1349</v>
      </c>
      <c r="L644" t="s">
        <v>658</v>
      </c>
    </row>
    <row r="645" spans="1:12">
      <c r="A645" s="53" t="s">
        <v>1573</v>
      </c>
      <c r="B645" t="str">
        <f t="shared" si="20"/>
        <v>retention </v>
      </c>
      <c r="F645" s="68" t="s">
        <v>1645</v>
      </c>
      <c r="G645" t="str">
        <f t="shared" si="21"/>
        <v>solar</v>
      </c>
      <c r="H645" t="s">
        <v>1645</v>
      </c>
      <c r="L645" t="s">
        <v>1645</v>
      </c>
    </row>
    <row r="646" spans="1:12">
      <c r="A646" t="s">
        <v>585</v>
      </c>
      <c r="B646" t="str">
        <f t="shared" si="20"/>
        <v>reusable</v>
      </c>
      <c r="F646" s="65" t="s">
        <v>2005</v>
      </c>
      <c r="G646" t="str">
        <f t="shared" si="21"/>
        <v>solar</v>
      </c>
      <c r="H646" t="s">
        <v>2005</v>
      </c>
      <c r="L646" t="s">
        <v>1645</v>
      </c>
    </row>
    <row r="647" spans="1:12">
      <c r="A647" t="s">
        <v>585</v>
      </c>
      <c r="B647" t="str">
        <f t="shared" si="20"/>
        <v>reusable</v>
      </c>
      <c r="F647" s="64" t="s">
        <v>1676</v>
      </c>
      <c r="G647" t="str">
        <f t="shared" si="21"/>
        <v>sovereighnty</v>
      </c>
      <c r="H647" t="s">
        <v>1676</v>
      </c>
      <c r="L647" t="s">
        <v>1676</v>
      </c>
    </row>
    <row r="648" spans="1:12">
      <c r="A648" t="s">
        <v>1319</v>
      </c>
      <c r="B648" t="str">
        <f t="shared" si="20"/>
        <v>reusable </v>
      </c>
      <c r="F648" s="64" t="s">
        <v>2006</v>
      </c>
      <c r="G648" t="str">
        <f t="shared" si="21"/>
        <v>sovereignty</v>
      </c>
      <c r="H648" t="s">
        <v>2006</v>
      </c>
      <c r="L648" t="s">
        <v>2096</v>
      </c>
    </row>
    <row r="649" spans="1:12">
      <c r="A649" t="s">
        <v>580</v>
      </c>
      <c r="B649" t="str">
        <f t="shared" si="20"/>
        <v>reuse</v>
      </c>
      <c r="F649" s="64" t="s">
        <v>1654</v>
      </c>
      <c r="G649" t="str">
        <f t="shared" si="21"/>
        <v>spatial diversity</v>
      </c>
      <c r="H649" t="s">
        <v>1654</v>
      </c>
      <c r="L649" t="s">
        <v>1654</v>
      </c>
    </row>
    <row r="650" spans="1:12">
      <c r="A650" t="s">
        <v>580</v>
      </c>
      <c r="B650" t="str">
        <f t="shared" si="20"/>
        <v>reuse</v>
      </c>
      <c r="F650" s="65" t="s">
        <v>2007</v>
      </c>
      <c r="G650" t="str">
        <f t="shared" si="21"/>
        <v>spatial diversity</v>
      </c>
      <c r="H650" t="s">
        <v>2007</v>
      </c>
      <c r="L650" t="s">
        <v>1654</v>
      </c>
    </row>
    <row r="651" spans="1:12">
      <c r="A651" t="s">
        <v>1320</v>
      </c>
      <c r="B651" t="str">
        <f t="shared" si="20"/>
        <v>reuse </v>
      </c>
      <c r="F651" s="64" t="s">
        <v>605</v>
      </c>
      <c r="G651" t="str">
        <f t="shared" si="21"/>
        <v>species</v>
      </c>
      <c r="H651" t="s">
        <v>605</v>
      </c>
      <c r="L651" t="s">
        <v>605</v>
      </c>
    </row>
    <row r="652" spans="1:12">
      <c r="A652" t="s">
        <v>498</v>
      </c>
      <c r="B652" t="str">
        <f t="shared" si="20"/>
        <v>rights</v>
      </c>
      <c r="F652" s="64" t="s">
        <v>1632</v>
      </c>
      <c r="G652" t="str">
        <f t="shared" si="21"/>
        <v>species</v>
      </c>
      <c r="H652" t="s">
        <v>605</v>
      </c>
      <c r="L652" t="s">
        <v>605</v>
      </c>
    </row>
    <row r="653" spans="1:12">
      <c r="A653" t="s">
        <v>498</v>
      </c>
      <c r="B653" t="str">
        <f t="shared" si="20"/>
        <v>rights</v>
      </c>
      <c r="F653" s="64" t="s">
        <v>1313</v>
      </c>
      <c r="G653" t="str">
        <f t="shared" si="21"/>
        <v>species</v>
      </c>
      <c r="H653" t="s">
        <v>1313</v>
      </c>
      <c r="L653" t="s">
        <v>605</v>
      </c>
    </row>
    <row r="654" spans="1:12">
      <c r="A654" t="s">
        <v>1745</v>
      </c>
      <c r="B654" t="str">
        <f t="shared" si="20"/>
        <v>rights </v>
      </c>
      <c r="F654" s="64" t="s">
        <v>629</v>
      </c>
      <c r="G654" t="str">
        <f t="shared" si="21"/>
        <v>stewardship</v>
      </c>
      <c r="H654" t="s">
        <v>629</v>
      </c>
      <c r="L654" t="s">
        <v>629</v>
      </c>
    </row>
    <row r="655" spans="1:12">
      <c r="A655" t="s">
        <v>1199</v>
      </c>
      <c r="B655" t="str">
        <f t="shared" si="20"/>
        <v>rights </v>
      </c>
      <c r="F655" s="64" t="s">
        <v>1381</v>
      </c>
      <c r="G655" t="str">
        <f t="shared" si="21"/>
        <v>stewardship</v>
      </c>
      <c r="H655" t="s">
        <v>1381</v>
      </c>
      <c r="L655" t="s">
        <v>629</v>
      </c>
    </row>
    <row r="656" spans="1:12">
      <c r="A656" t="s">
        <v>1199</v>
      </c>
      <c r="B656" t="str">
        <f t="shared" si="20"/>
        <v>rights </v>
      </c>
      <c r="F656" s="64" t="s">
        <v>639</v>
      </c>
      <c r="G656" t="str">
        <f t="shared" si="21"/>
        <v>storage</v>
      </c>
      <c r="H656" t="s">
        <v>639</v>
      </c>
      <c r="L656" t="s">
        <v>639</v>
      </c>
    </row>
    <row r="657" spans="1:12">
      <c r="A657" t="s">
        <v>1718</v>
      </c>
      <c r="B657" t="str">
        <f t="shared" si="20"/>
        <v>root depth</v>
      </c>
      <c r="F657" s="64" t="s">
        <v>1572</v>
      </c>
      <c r="G657" t="str">
        <f t="shared" si="21"/>
        <v>storage</v>
      </c>
      <c r="H657" t="s">
        <v>1572</v>
      </c>
      <c r="L657" t="s">
        <v>639</v>
      </c>
    </row>
    <row r="658" spans="1:12">
      <c r="A658" t="s">
        <v>488</v>
      </c>
      <c r="B658" t="str">
        <f t="shared" si="20"/>
        <v>root pathogen pressure</v>
      </c>
      <c r="F658" s="64" t="s">
        <v>1655</v>
      </c>
      <c r="G658" t="str">
        <f t="shared" si="21"/>
        <v>strip cropping</v>
      </c>
      <c r="H658" t="s">
        <v>1655</v>
      </c>
      <c r="L658" t="s">
        <v>1655</v>
      </c>
    </row>
    <row r="659" spans="1:12">
      <c r="A659" t="s">
        <v>610</v>
      </c>
      <c r="B659" t="str">
        <f t="shared" si="20"/>
        <v>rotation</v>
      </c>
      <c r="F659" s="65" t="s">
        <v>2008</v>
      </c>
      <c r="G659" t="str">
        <f t="shared" si="21"/>
        <v>strip cropping</v>
      </c>
      <c r="H659" t="s">
        <v>2008</v>
      </c>
      <c r="L659" t="s">
        <v>1655</v>
      </c>
    </row>
    <row r="660" spans="1:12">
      <c r="A660" t="s">
        <v>610</v>
      </c>
      <c r="B660" t="str">
        <f t="shared" si="20"/>
        <v>rotation</v>
      </c>
      <c r="F660" s="64" t="s">
        <v>2009</v>
      </c>
      <c r="G660" t="str">
        <f t="shared" si="21"/>
        <v>subsidies</v>
      </c>
      <c r="H660" t="s">
        <v>2009</v>
      </c>
      <c r="L660" t="s">
        <v>2097</v>
      </c>
    </row>
    <row r="661" spans="1:12">
      <c r="A661" s="55" t="s">
        <v>1296</v>
      </c>
      <c r="B661" t="str">
        <f t="shared" si="20"/>
        <v>rotation </v>
      </c>
      <c r="F661" s="74" t="s">
        <v>1720</v>
      </c>
      <c r="G661" t="str">
        <f t="shared" si="21"/>
        <v>sub-surface hardness</v>
      </c>
      <c r="H661" t="s">
        <v>1720</v>
      </c>
      <c r="L661" t="s">
        <v>1720</v>
      </c>
    </row>
    <row r="662" spans="1:12">
      <c r="A662" s="55" t="s">
        <v>1363</v>
      </c>
      <c r="B662" t="str">
        <f t="shared" si="20"/>
        <v>rotation </v>
      </c>
      <c r="F662" s="64" t="s">
        <v>2010</v>
      </c>
      <c r="G662" t="str">
        <f t="shared" si="21"/>
        <v>surface hardness</v>
      </c>
      <c r="H662" t="s">
        <v>2010</v>
      </c>
      <c r="L662" t="s">
        <v>2010</v>
      </c>
    </row>
    <row r="663" spans="1:12">
      <c r="A663" t="s">
        <v>1557</v>
      </c>
      <c r="B663" t="str">
        <f t="shared" si="20"/>
        <v>rotational grazing</v>
      </c>
      <c r="F663" s="64" t="s">
        <v>645</v>
      </c>
      <c r="G663" t="str">
        <f t="shared" si="21"/>
        <v>sustainable</v>
      </c>
      <c r="H663" t="s">
        <v>645</v>
      </c>
      <c r="L663" t="s">
        <v>645</v>
      </c>
    </row>
    <row r="664" spans="1:12">
      <c r="A664" t="s">
        <v>1390</v>
      </c>
      <c r="B664" t="str">
        <f t="shared" si="20"/>
        <v>rotational grazing </v>
      </c>
      <c r="F664" s="64" t="s">
        <v>1578</v>
      </c>
      <c r="G664" t="str">
        <f t="shared" si="21"/>
        <v>sustainable</v>
      </c>
      <c r="H664" t="s">
        <v>1578</v>
      </c>
      <c r="L664" t="s">
        <v>645</v>
      </c>
    </row>
    <row r="665" spans="1:12">
      <c r="A665" t="s">
        <v>517</v>
      </c>
      <c r="B665" t="str">
        <f t="shared" si="20"/>
        <v>safeguarding</v>
      </c>
      <c r="F665" s="73" t="s">
        <v>659</v>
      </c>
      <c r="G665" t="str">
        <f t="shared" si="21"/>
        <v>synergy</v>
      </c>
      <c r="H665" t="s">
        <v>659</v>
      </c>
      <c r="L665" t="s">
        <v>659</v>
      </c>
    </row>
    <row r="666" spans="1:12">
      <c r="A666" t="s">
        <v>517</v>
      </c>
      <c r="B666" t="str">
        <f t="shared" si="20"/>
        <v>safeguarding</v>
      </c>
      <c r="F666" s="64" t="s">
        <v>1365</v>
      </c>
      <c r="G666" t="str">
        <f t="shared" si="21"/>
        <v>synergy</v>
      </c>
      <c r="H666" t="s">
        <v>1365</v>
      </c>
      <c r="L666" t="s">
        <v>659</v>
      </c>
    </row>
    <row r="667" spans="1:12">
      <c r="A667" t="s">
        <v>1196</v>
      </c>
      <c r="B667" t="str">
        <f t="shared" si="20"/>
        <v>safeguarding </v>
      </c>
      <c r="F667" s="64" t="s">
        <v>1708</v>
      </c>
      <c r="G667" t="str">
        <f t="shared" si="21"/>
        <v>tacit knowledge</v>
      </c>
      <c r="H667" t="s">
        <v>1708</v>
      </c>
      <c r="L667" t="s">
        <v>1708</v>
      </c>
    </row>
    <row r="668" spans="1:12">
      <c r="A668" t="s">
        <v>1196</v>
      </c>
      <c r="B668" t="str">
        <f t="shared" si="20"/>
        <v>safeguarding </v>
      </c>
      <c r="F668" s="64" t="s">
        <v>1636</v>
      </c>
      <c r="G668" t="str">
        <f t="shared" si="21"/>
        <v>terrace</v>
      </c>
      <c r="H668" t="s">
        <v>1636</v>
      </c>
      <c r="L668" t="s">
        <v>1636</v>
      </c>
    </row>
    <row r="669" spans="1:12">
      <c r="A669" t="s">
        <v>1222</v>
      </c>
      <c r="B669" t="str">
        <f t="shared" si="20"/>
        <v>salary </v>
      </c>
      <c r="F669" s="65" t="s">
        <v>2011</v>
      </c>
      <c r="G669" t="str">
        <f t="shared" si="21"/>
        <v>terrace</v>
      </c>
      <c r="H669" t="s">
        <v>2011</v>
      </c>
      <c r="L669" t="s">
        <v>1636</v>
      </c>
    </row>
    <row r="670" spans="1:12">
      <c r="A670" t="s">
        <v>465</v>
      </c>
      <c r="B670" t="str">
        <f t="shared" si="20"/>
        <v>salinity</v>
      </c>
      <c r="F670" s="64" t="s">
        <v>2012</v>
      </c>
      <c r="G670" t="str">
        <f t="shared" si="21"/>
        <v>terracing</v>
      </c>
      <c r="H670" t="s">
        <v>2012</v>
      </c>
      <c r="L670" t="s">
        <v>2012</v>
      </c>
    </row>
    <row r="671" spans="1:12">
      <c r="A671" t="s">
        <v>446</v>
      </c>
      <c r="B671" t="str">
        <f t="shared" si="20"/>
        <v>saturated hydraulic conductivity</v>
      </c>
      <c r="F671" s="64" t="s">
        <v>2013</v>
      </c>
      <c r="G671" t="str">
        <f t="shared" si="21"/>
        <v>terracing</v>
      </c>
      <c r="H671" t="s">
        <v>2013</v>
      </c>
      <c r="L671" t="s">
        <v>2012</v>
      </c>
    </row>
    <row r="672" spans="1:12">
      <c r="A672" t="s">
        <v>1746</v>
      </c>
      <c r="B672" t="str">
        <f t="shared" si="20"/>
        <v>school feeding </v>
      </c>
      <c r="F672" s="64" t="s">
        <v>2014</v>
      </c>
      <c r="G672" t="str">
        <f t="shared" si="21"/>
        <v>texture</v>
      </c>
      <c r="H672" t="s">
        <v>2014</v>
      </c>
      <c r="L672" t="s">
        <v>2014</v>
      </c>
    </row>
    <row r="673" spans="1:12">
      <c r="A673" t="s">
        <v>1747</v>
      </c>
      <c r="B673" t="str">
        <f t="shared" si="20"/>
        <v>science-policy </v>
      </c>
      <c r="F673" s="64" t="s">
        <v>2015</v>
      </c>
      <c r="G673" t="str">
        <f t="shared" si="21"/>
        <v>total organic carbon</v>
      </c>
      <c r="H673" t="s">
        <v>2015</v>
      </c>
      <c r="L673" t="s">
        <v>2015</v>
      </c>
    </row>
    <row r="674" spans="1:12">
      <c r="A674" t="s">
        <v>1622</v>
      </c>
      <c r="B674" t="str">
        <f t="shared" si="20"/>
        <v>seed banks</v>
      </c>
      <c r="F674" s="64" t="s">
        <v>542</v>
      </c>
      <c r="G674" t="str">
        <f t="shared" si="21"/>
        <v>tradition</v>
      </c>
      <c r="H674" t="s">
        <v>542</v>
      </c>
      <c r="L674" t="s">
        <v>542</v>
      </c>
    </row>
    <row r="675" spans="1:12">
      <c r="A675" s="55" t="s">
        <v>1762</v>
      </c>
      <c r="B675" t="str">
        <f t="shared" si="20"/>
        <v>seed banks </v>
      </c>
      <c r="F675" s="64" t="s">
        <v>542</v>
      </c>
      <c r="G675" t="str">
        <f t="shared" si="21"/>
        <v>tradition</v>
      </c>
      <c r="H675" t="s">
        <v>542</v>
      </c>
      <c r="L675" t="s">
        <v>542</v>
      </c>
    </row>
    <row r="676" spans="1:12">
      <c r="A676" t="s">
        <v>1338</v>
      </c>
      <c r="B676" t="str">
        <f t="shared" si="20"/>
        <v>seed sav </v>
      </c>
      <c r="F676" s="64" t="s">
        <v>533</v>
      </c>
      <c r="G676" t="str">
        <f t="shared" si="21"/>
        <v>traditional</v>
      </c>
      <c r="H676" t="s">
        <v>533</v>
      </c>
      <c r="L676" t="s">
        <v>533</v>
      </c>
    </row>
    <row r="677" spans="1:12">
      <c r="A677" t="s">
        <v>1631</v>
      </c>
      <c r="B677" t="str">
        <f t="shared" si="20"/>
        <v>seed saving</v>
      </c>
      <c r="F677" s="64" t="s">
        <v>533</v>
      </c>
      <c r="G677" t="str">
        <f t="shared" si="21"/>
        <v>traditional</v>
      </c>
      <c r="H677" t="s">
        <v>533</v>
      </c>
      <c r="L677" t="s">
        <v>533</v>
      </c>
    </row>
    <row r="678" spans="1:12">
      <c r="A678" s="35" t="s">
        <v>1674</v>
      </c>
      <c r="B678" t="str">
        <f t="shared" si="20"/>
        <v>self-organisation</v>
      </c>
      <c r="F678" s="64" t="s">
        <v>513</v>
      </c>
      <c r="G678" t="str">
        <f t="shared" si="21"/>
        <v>traditional knowledge</v>
      </c>
      <c r="H678" t="s">
        <v>513</v>
      </c>
      <c r="L678" t="s">
        <v>513</v>
      </c>
    </row>
    <row r="679" spans="1:12">
      <c r="A679" t="s">
        <v>1779</v>
      </c>
      <c r="B679" t="str">
        <f t="shared" si="20"/>
        <v>self-organisation </v>
      </c>
      <c r="F679" s="64" t="s">
        <v>513</v>
      </c>
      <c r="G679" t="str">
        <f t="shared" si="21"/>
        <v>traditional knowledge</v>
      </c>
      <c r="H679" t="s">
        <v>513</v>
      </c>
      <c r="L679" t="s">
        <v>513</v>
      </c>
    </row>
    <row r="680" spans="1:12">
      <c r="A680" t="s">
        <v>1227</v>
      </c>
      <c r="B680" t="str">
        <f t="shared" si="20"/>
        <v>sell animal products </v>
      </c>
      <c r="F680" s="64" t="s">
        <v>1192</v>
      </c>
      <c r="G680" t="str">
        <f t="shared" si="21"/>
        <v>traditional knowledge</v>
      </c>
      <c r="H680" t="s">
        <v>1192</v>
      </c>
      <c r="L680" t="s">
        <v>513</v>
      </c>
    </row>
    <row r="681" spans="1:12">
      <c r="A681" t="s">
        <v>1238</v>
      </c>
      <c r="B681" t="str">
        <f t="shared" si="20"/>
        <v>sell charcoal </v>
      </c>
      <c r="F681" s="64" t="s">
        <v>2016</v>
      </c>
      <c r="G681" t="str">
        <f t="shared" si="21"/>
        <v>traditional market</v>
      </c>
      <c r="H681" t="s">
        <v>2016</v>
      </c>
      <c r="L681" t="s">
        <v>2098</v>
      </c>
    </row>
    <row r="682" spans="1:12">
      <c r="A682" t="s">
        <v>1231</v>
      </c>
      <c r="B682" t="str">
        <f t="shared" si="20"/>
        <v>sell eggs </v>
      </c>
      <c r="F682" s="64" t="s">
        <v>1452</v>
      </c>
      <c r="G682" t="str">
        <f t="shared" si="21"/>
        <v>traditional</v>
      </c>
      <c r="H682" t="s">
        <v>1452</v>
      </c>
      <c r="L682" t="s">
        <v>533</v>
      </c>
    </row>
    <row r="683" spans="1:12">
      <c r="A683" t="s">
        <v>1236</v>
      </c>
      <c r="B683" t="str">
        <f t="shared" si="20"/>
        <v>sell firewood </v>
      </c>
      <c r="F683" s="64" t="s">
        <v>532</v>
      </c>
      <c r="G683" t="str">
        <f t="shared" si="21"/>
        <v>transfer</v>
      </c>
      <c r="H683" t="s">
        <v>532</v>
      </c>
      <c r="L683" t="s">
        <v>532</v>
      </c>
    </row>
    <row r="684" spans="1:12">
      <c r="A684" t="s">
        <v>1235</v>
      </c>
      <c r="B684" t="str">
        <f t="shared" si="20"/>
        <v>sell fruit </v>
      </c>
      <c r="F684" s="67" t="s">
        <v>532</v>
      </c>
      <c r="G684" t="str">
        <f t="shared" si="21"/>
        <v>transfer</v>
      </c>
      <c r="H684" t="s">
        <v>532</v>
      </c>
      <c r="L684" t="s">
        <v>532</v>
      </c>
    </row>
    <row r="685" spans="1:12">
      <c r="A685" t="s">
        <v>1230</v>
      </c>
      <c r="B685" t="str">
        <f t="shared" si="20"/>
        <v>sell honey </v>
      </c>
      <c r="F685" s="64" t="s">
        <v>565</v>
      </c>
      <c r="G685" t="str">
        <f t="shared" si="21"/>
        <v>underrepresented</v>
      </c>
      <c r="H685" t="s">
        <v>565</v>
      </c>
      <c r="L685" t="s">
        <v>565</v>
      </c>
    </row>
    <row r="686" spans="1:12">
      <c r="A686" t="s">
        <v>1229</v>
      </c>
      <c r="B686" t="str">
        <f t="shared" si="20"/>
        <v>sell meat </v>
      </c>
      <c r="F686" s="64" t="s">
        <v>565</v>
      </c>
      <c r="G686" t="str">
        <f t="shared" si="21"/>
        <v>underrepresented</v>
      </c>
      <c r="H686" t="s">
        <v>565</v>
      </c>
      <c r="L686" t="s">
        <v>565</v>
      </c>
    </row>
    <row r="687" spans="1:12">
      <c r="A687" t="s">
        <v>1228</v>
      </c>
      <c r="B687" t="str">
        <f t="shared" si="20"/>
        <v>sell milk </v>
      </c>
      <c r="F687" s="64" t="s">
        <v>541</v>
      </c>
      <c r="G687" t="str">
        <f t="shared" si="21"/>
        <v>uniqueness</v>
      </c>
      <c r="H687" t="s">
        <v>541</v>
      </c>
      <c r="L687" t="s">
        <v>541</v>
      </c>
    </row>
    <row r="688" spans="1:12">
      <c r="A688" t="s">
        <v>1234</v>
      </c>
      <c r="B688" t="str">
        <f t="shared" si="20"/>
        <v>sell timber </v>
      </c>
      <c r="F688" s="64" t="s">
        <v>541</v>
      </c>
      <c r="G688" t="str">
        <f t="shared" si="21"/>
        <v>uniqueness</v>
      </c>
      <c r="H688" t="s">
        <v>541</v>
      </c>
      <c r="L688" t="s">
        <v>541</v>
      </c>
    </row>
    <row r="689" spans="1:12">
      <c r="A689" t="s">
        <v>1713</v>
      </c>
      <c r="B689" t="str">
        <f t="shared" si="20"/>
        <v>sensitisation</v>
      </c>
      <c r="F689" s="64" t="s">
        <v>2017</v>
      </c>
      <c r="G689" t="str">
        <f t="shared" si="21"/>
        <v>value addition</v>
      </c>
      <c r="H689" t="s">
        <v>2017</v>
      </c>
      <c r="L689" t="s">
        <v>2099</v>
      </c>
    </row>
    <row r="690" spans="1:12">
      <c r="A690" t="s">
        <v>1467</v>
      </c>
      <c r="B690" t="str">
        <f t="shared" si="20"/>
        <v>sensitization </v>
      </c>
      <c r="F690" s="64" t="s">
        <v>1203</v>
      </c>
      <c r="G690" t="str">
        <f t="shared" si="21"/>
        <v>value chain</v>
      </c>
      <c r="H690" t="s">
        <v>1203</v>
      </c>
      <c r="L690" t="s">
        <v>2100</v>
      </c>
    </row>
    <row r="691" spans="1:12">
      <c r="A691" t="s">
        <v>1653</v>
      </c>
      <c r="B691" t="str">
        <f t="shared" si="20"/>
        <v>sequential cropping</v>
      </c>
      <c r="F691" s="64" t="s">
        <v>503</v>
      </c>
      <c r="G691" t="str">
        <f t="shared" si="21"/>
        <v>value chains</v>
      </c>
      <c r="H691" t="s">
        <v>503</v>
      </c>
      <c r="L691" t="s">
        <v>503</v>
      </c>
    </row>
    <row r="692" spans="1:12">
      <c r="A692" s="55" t="s">
        <v>1297</v>
      </c>
      <c r="B692" t="str">
        <f t="shared" si="20"/>
        <v>sequential cropping </v>
      </c>
      <c r="F692" s="64" t="s">
        <v>619</v>
      </c>
      <c r="G692" t="str">
        <f t="shared" si="21"/>
        <v>variety</v>
      </c>
      <c r="H692" t="s">
        <v>619</v>
      </c>
      <c r="L692" t="s">
        <v>619</v>
      </c>
    </row>
    <row r="693" spans="1:12">
      <c r="A693" t="s">
        <v>1437</v>
      </c>
      <c r="B693" t="str">
        <f t="shared" si="20"/>
        <v>shade trees</v>
      </c>
      <c r="F693" s="64" t="s">
        <v>619</v>
      </c>
      <c r="G693" t="str">
        <f t="shared" si="21"/>
        <v>variety</v>
      </c>
      <c r="H693" t="s">
        <v>619</v>
      </c>
      <c r="L693" t="s">
        <v>619</v>
      </c>
    </row>
    <row r="694" spans="1:12">
      <c r="A694" t="s">
        <v>1389</v>
      </c>
      <c r="B694" t="str">
        <f t="shared" si="20"/>
        <v>shade trees </v>
      </c>
      <c r="F694" s="64" t="s">
        <v>590</v>
      </c>
      <c r="G694" t="str">
        <f t="shared" si="21"/>
        <v>vermicomposting</v>
      </c>
      <c r="H694" t="s">
        <v>590</v>
      </c>
      <c r="L694" t="s">
        <v>590</v>
      </c>
    </row>
    <row r="695" spans="1:12">
      <c r="A695" t="s">
        <v>531</v>
      </c>
      <c r="B695" t="str">
        <f t="shared" si="20"/>
        <v>sharing</v>
      </c>
      <c r="F695" s="65" t="s">
        <v>590</v>
      </c>
      <c r="G695" t="str">
        <f t="shared" si="21"/>
        <v>vermicomposting</v>
      </c>
      <c r="H695" t="s">
        <v>590</v>
      </c>
      <c r="L695" t="s">
        <v>590</v>
      </c>
    </row>
    <row r="696" spans="1:12">
      <c r="A696" s="13" t="s">
        <v>1450</v>
      </c>
      <c r="B696" t="str">
        <f t="shared" si="20"/>
        <v>sharing </v>
      </c>
      <c r="F696" s="64" t="s">
        <v>2018</v>
      </c>
      <c r="G696" t="str">
        <f t="shared" si="21"/>
        <v>wage</v>
      </c>
      <c r="H696" t="s">
        <v>2018</v>
      </c>
      <c r="L696" t="s">
        <v>2101</v>
      </c>
    </row>
    <row r="697" spans="1:12">
      <c r="A697" t="s">
        <v>1558</v>
      </c>
      <c r="B697" t="str">
        <f t="shared" si="20"/>
        <v>silvopasture</v>
      </c>
      <c r="F697" s="64" t="s">
        <v>577</v>
      </c>
      <c r="G697" t="str">
        <f t="shared" si="21"/>
        <v>waste</v>
      </c>
      <c r="H697" t="s">
        <v>577</v>
      </c>
      <c r="L697" t="s">
        <v>577</v>
      </c>
    </row>
    <row r="698" spans="1:12">
      <c r="A698" t="s">
        <v>1391</v>
      </c>
      <c r="B698" t="str">
        <f t="shared" si="20"/>
        <v>silvopasture </v>
      </c>
      <c r="F698" s="64" t="s">
        <v>1658</v>
      </c>
      <c r="G698" t="str">
        <f t="shared" si="21"/>
        <v>waste water</v>
      </c>
      <c r="H698" t="s">
        <v>1658</v>
      </c>
      <c r="L698" t="s">
        <v>1658</v>
      </c>
    </row>
    <row r="699" spans="1:12">
      <c r="A699" t="s">
        <v>1710</v>
      </c>
      <c r="B699" t="str">
        <f t="shared" si="20"/>
        <v>situation-specific</v>
      </c>
      <c r="F699" s="64" t="s">
        <v>1321</v>
      </c>
      <c r="G699" t="str">
        <f t="shared" si="21"/>
        <v>waste</v>
      </c>
      <c r="H699" t="s">
        <v>1321</v>
      </c>
      <c r="L699" t="s">
        <v>577</v>
      </c>
    </row>
    <row r="700" spans="1:12" ht="16.8">
      <c r="A700" s="2" t="s">
        <v>202</v>
      </c>
      <c r="B700" t="str">
        <f t="shared" si="20"/>
        <v>social</v>
      </c>
      <c r="F700" s="64" t="s">
        <v>578</v>
      </c>
      <c r="G700" t="str">
        <f t="shared" si="21"/>
        <v>wastewater</v>
      </c>
      <c r="H700" t="s">
        <v>578</v>
      </c>
      <c r="L700" t="s">
        <v>578</v>
      </c>
    </row>
    <row r="701" spans="1:12">
      <c r="A701" s="35" t="s">
        <v>202</v>
      </c>
      <c r="B701" t="str">
        <f t="shared" si="20"/>
        <v>social</v>
      </c>
      <c r="F701" s="64" t="s">
        <v>581</v>
      </c>
      <c r="G701" t="str">
        <f t="shared" si="21"/>
        <v>water</v>
      </c>
      <c r="H701" t="s">
        <v>581</v>
      </c>
      <c r="L701" t="s">
        <v>581</v>
      </c>
    </row>
    <row r="702" spans="1:12">
      <c r="A702" t="s">
        <v>1684</v>
      </c>
      <c r="B702" t="str">
        <f t="shared" si="20"/>
        <v>social innovations</v>
      </c>
      <c r="F702" s="64" t="s">
        <v>2019</v>
      </c>
      <c r="G702" t="str">
        <f t="shared" si="21"/>
        <v>water holding capacity</v>
      </c>
      <c r="H702" t="s">
        <v>2019</v>
      </c>
      <c r="L702" t="s">
        <v>2019</v>
      </c>
    </row>
    <row r="703" spans="1:12">
      <c r="A703" s="10" t="s">
        <v>501</v>
      </c>
      <c r="B703" t="str">
        <f t="shared" si="20"/>
        <v>social just</v>
      </c>
      <c r="F703" s="65" t="s">
        <v>1331</v>
      </c>
      <c r="G703" t="str">
        <f t="shared" si="21"/>
        <v>water</v>
      </c>
      <c r="H703" t="s">
        <v>1331</v>
      </c>
      <c r="L703" t="s">
        <v>581</v>
      </c>
    </row>
    <row r="704" spans="1:12">
      <c r="A704" t="s">
        <v>1184</v>
      </c>
      <c r="B704" t="str">
        <f t="shared" si="20"/>
        <v>social just </v>
      </c>
      <c r="F704" s="64" t="s">
        <v>2020</v>
      </c>
      <c r="G704" t="str">
        <f t="shared" si="21"/>
        <v>weed seed bank</v>
      </c>
      <c r="H704" t="s">
        <v>2020</v>
      </c>
      <c r="L704" t="s">
        <v>2020</v>
      </c>
    </row>
    <row r="705" spans="1:12">
      <c r="A705" t="s">
        <v>1707</v>
      </c>
      <c r="B705" t="str">
        <f t="shared" si="20"/>
        <v>social justice</v>
      </c>
      <c r="F705" s="64" t="s">
        <v>2021</v>
      </c>
      <c r="G705" t="str">
        <f t="shared" si="21"/>
        <v>weeds for food</v>
      </c>
      <c r="H705" t="s">
        <v>2021</v>
      </c>
      <c r="L705" t="s">
        <v>2021</v>
      </c>
    </row>
    <row r="706" spans="1:12">
      <c r="A706" t="s">
        <v>1780</v>
      </c>
      <c r="B706" t="str">
        <f t="shared" ref="B706:B769" si="22">LOWER(A706)</f>
        <v>social media group </v>
      </c>
      <c r="F706" s="64" t="s">
        <v>2022</v>
      </c>
      <c r="G706" t="str">
        <f t="shared" ref="G706:G729" si="23">TRIM(SUBSTITUTE(F706,CHAR(160)," "))</f>
        <v>weeds for forage</v>
      </c>
      <c r="H706" t="s">
        <v>2022</v>
      </c>
      <c r="L706" t="s">
        <v>2022</v>
      </c>
    </row>
    <row r="707" spans="1:12">
      <c r="A707" s="35" t="s">
        <v>1678</v>
      </c>
      <c r="B707" t="str">
        <f t="shared" si="22"/>
        <v>social values</v>
      </c>
      <c r="F707" s="66" t="s">
        <v>1685</v>
      </c>
      <c r="G707" t="str">
        <f t="shared" si="23"/>
        <v>well-being</v>
      </c>
      <c r="H707" t="s">
        <v>1685</v>
      </c>
      <c r="L707" t="s">
        <v>1685</v>
      </c>
    </row>
    <row r="708" spans="1:12">
      <c r="A708" t="s">
        <v>1442</v>
      </c>
      <c r="B708" t="str">
        <f t="shared" si="22"/>
        <v>social </v>
      </c>
      <c r="F708" s="64" t="s">
        <v>2023</v>
      </c>
      <c r="G708" t="str">
        <f t="shared" si="23"/>
        <v>wet and dry aggregate size</v>
      </c>
      <c r="H708" t="s">
        <v>2023</v>
      </c>
      <c r="L708" t="s">
        <v>2023</v>
      </c>
    </row>
    <row r="709" spans="1:12">
      <c r="A709" t="s">
        <v>1492</v>
      </c>
      <c r="B709" t="str">
        <f t="shared" si="22"/>
        <v>socially just</v>
      </c>
      <c r="F709" s="64" t="s">
        <v>536</v>
      </c>
      <c r="G709" t="str">
        <f t="shared" si="23"/>
        <v>wisdom</v>
      </c>
      <c r="H709" t="s">
        <v>536</v>
      </c>
      <c r="L709" t="s">
        <v>536</v>
      </c>
    </row>
    <row r="710" spans="1:12">
      <c r="A710" t="s">
        <v>466</v>
      </c>
      <c r="B710" t="str">
        <f t="shared" si="22"/>
        <v>sodicity</v>
      </c>
      <c r="F710" s="64" t="s">
        <v>536</v>
      </c>
      <c r="G710" t="str">
        <f t="shared" si="23"/>
        <v>wisdom</v>
      </c>
      <c r="H710" t="s">
        <v>536</v>
      </c>
      <c r="L710" t="s">
        <v>536</v>
      </c>
    </row>
    <row r="711" spans="1:12" ht="16.8">
      <c r="A711" s="2" t="s">
        <v>658</v>
      </c>
      <c r="B711" t="str">
        <f t="shared" si="22"/>
        <v>soil</v>
      </c>
      <c r="F711" s="64" t="s">
        <v>1667</v>
      </c>
      <c r="G711" t="str">
        <f t="shared" si="23"/>
        <v>woman</v>
      </c>
      <c r="H711" t="s">
        <v>1667</v>
      </c>
      <c r="L711" t="s">
        <v>1667</v>
      </c>
    </row>
    <row r="712" spans="1:12">
      <c r="A712" t="s">
        <v>599</v>
      </c>
      <c r="B712" t="str">
        <f t="shared" si="22"/>
        <v>soil amendment</v>
      </c>
      <c r="F712" s="64" t="s">
        <v>1666</v>
      </c>
      <c r="G712" t="str">
        <f t="shared" si="23"/>
        <v>women</v>
      </c>
      <c r="H712" t="s">
        <v>1666</v>
      </c>
      <c r="L712" t="s">
        <v>1666</v>
      </c>
    </row>
    <row r="713" spans="1:12">
      <c r="A713" t="s">
        <v>599</v>
      </c>
      <c r="B713" t="str">
        <f t="shared" si="22"/>
        <v>soil amendment</v>
      </c>
      <c r="F713" s="64" t="s">
        <v>1665</v>
      </c>
      <c r="G713" t="str">
        <f t="shared" si="23"/>
        <v>women empowerment</v>
      </c>
      <c r="H713" t="s">
        <v>1665</v>
      </c>
      <c r="L713" t="s">
        <v>1665</v>
      </c>
    </row>
    <row r="714" spans="1:12">
      <c r="A714" s="55" t="s">
        <v>1346</v>
      </c>
      <c r="B714" t="str">
        <f t="shared" si="22"/>
        <v>soil amendment </v>
      </c>
      <c r="F714" s="65" t="s">
        <v>612</v>
      </c>
      <c r="G714" t="str">
        <f t="shared" si="23"/>
        <v>woodland</v>
      </c>
      <c r="H714" t="s">
        <v>612</v>
      </c>
      <c r="L714" t="s">
        <v>612</v>
      </c>
    </row>
    <row r="715" spans="1:12">
      <c r="A715" t="s">
        <v>597</v>
      </c>
      <c r="B715" t="str">
        <f t="shared" si="22"/>
        <v>soil cover</v>
      </c>
      <c r="F715" s="64" t="s">
        <v>612</v>
      </c>
      <c r="G715" t="str">
        <f t="shared" si="23"/>
        <v>woodland</v>
      </c>
      <c r="H715" t="s">
        <v>612</v>
      </c>
      <c r="L715" t="s">
        <v>612</v>
      </c>
    </row>
    <row r="716" spans="1:12">
      <c r="A716" t="s">
        <v>597</v>
      </c>
      <c r="B716" t="str">
        <f t="shared" si="22"/>
        <v>soil cover</v>
      </c>
      <c r="F716" s="64" t="s">
        <v>1690</v>
      </c>
      <c r="G716" t="str">
        <f t="shared" si="23"/>
        <v>work</v>
      </c>
      <c r="H716" t="s">
        <v>1690</v>
      </c>
      <c r="L716" t="s">
        <v>1690</v>
      </c>
    </row>
    <row r="717" spans="1:12">
      <c r="A717" s="55" t="s">
        <v>1355</v>
      </c>
      <c r="B717" t="str">
        <f t="shared" si="22"/>
        <v>soil cover </v>
      </c>
      <c r="F717" s="64" t="s">
        <v>1690</v>
      </c>
      <c r="G717" t="str">
        <f t="shared" si="23"/>
        <v>work</v>
      </c>
      <c r="H717" t="s">
        <v>1690</v>
      </c>
      <c r="L717" t="s">
        <v>1690</v>
      </c>
    </row>
    <row r="718" spans="1:12">
      <c r="A718" t="s">
        <v>473</v>
      </c>
      <c r="B718" t="str">
        <f t="shared" si="22"/>
        <v>soil crusting and compaction</v>
      </c>
      <c r="F718" s="64" t="s">
        <v>510</v>
      </c>
      <c r="G718" t="str">
        <f t="shared" si="23"/>
        <v>working conditions</v>
      </c>
      <c r="H718" t="s">
        <v>510</v>
      </c>
      <c r="L718" t="s">
        <v>510</v>
      </c>
    </row>
    <row r="719" spans="1:12">
      <c r="A719" t="s">
        <v>1715</v>
      </c>
      <c r="B719" t="str">
        <f t="shared" si="22"/>
        <v>soil depth</v>
      </c>
      <c r="F719" s="64" t="s">
        <v>510</v>
      </c>
      <c r="G719" t="str">
        <f t="shared" si="23"/>
        <v>working conditions</v>
      </c>
      <c r="H719" t="s">
        <v>510</v>
      </c>
      <c r="L719" t="s">
        <v>510</v>
      </c>
    </row>
    <row r="720" spans="1:12">
      <c r="A720" t="s">
        <v>486</v>
      </c>
      <c r="B720" t="str">
        <f t="shared" si="22"/>
        <v>soil enzymes</v>
      </c>
      <c r="F720" s="64" t="s">
        <v>510</v>
      </c>
      <c r="G720" t="str">
        <f t="shared" si="23"/>
        <v>working conditions</v>
      </c>
      <c r="H720" t="s">
        <v>510</v>
      </c>
      <c r="L720" t="s">
        <v>510</v>
      </c>
    </row>
    <row r="721" spans="1:12">
      <c r="A721" t="s">
        <v>442</v>
      </c>
      <c r="B721" t="str">
        <f t="shared" si="22"/>
        <v>soil ph</v>
      </c>
      <c r="F721" s="64" t="s">
        <v>510</v>
      </c>
      <c r="G721" t="str">
        <f t="shared" si="23"/>
        <v>working conditions</v>
      </c>
      <c r="H721" t="s">
        <v>510</v>
      </c>
      <c r="L721" t="s">
        <v>510</v>
      </c>
    </row>
    <row r="722" spans="1:12">
      <c r="A722" t="s">
        <v>453</v>
      </c>
      <c r="B722" t="str">
        <f t="shared" si="22"/>
        <v>soil proteins</v>
      </c>
      <c r="F722" s="64" t="s">
        <v>591</v>
      </c>
      <c r="G722" t="str">
        <f t="shared" si="23"/>
        <v>worm</v>
      </c>
      <c r="H722" t="s">
        <v>591</v>
      </c>
      <c r="L722" t="s">
        <v>591</v>
      </c>
    </row>
    <row r="723" spans="1:12">
      <c r="A723" s="55" t="s">
        <v>1763</v>
      </c>
      <c r="B723" t="str">
        <f t="shared" si="22"/>
        <v>soil quality </v>
      </c>
      <c r="F723" s="64" t="s">
        <v>591</v>
      </c>
      <c r="G723" t="str">
        <f t="shared" si="23"/>
        <v>worm</v>
      </c>
      <c r="H723" t="s">
        <v>591</v>
      </c>
      <c r="L723" t="s">
        <v>591</v>
      </c>
    </row>
    <row r="724" spans="1:12">
      <c r="A724" t="s">
        <v>485</v>
      </c>
      <c r="B724" t="str">
        <f t="shared" si="22"/>
        <v>soil respiration rate</v>
      </c>
      <c r="F724" s="65" t="s">
        <v>591</v>
      </c>
      <c r="G724" t="str">
        <f t="shared" si="23"/>
        <v>worm</v>
      </c>
      <c r="H724" t="s">
        <v>591</v>
      </c>
      <c r="L724" t="s">
        <v>591</v>
      </c>
    </row>
    <row r="725" spans="1:12">
      <c r="A725" t="s">
        <v>469</v>
      </c>
      <c r="B725" t="str">
        <f t="shared" si="22"/>
        <v>soil structure and macroporosity</v>
      </c>
      <c r="F725" s="64" t="s">
        <v>2024</v>
      </c>
      <c r="G725" t="str">
        <f t="shared" si="23"/>
        <v>yoghurt making</v>
      </c>
      <c r="H725" t="s">
        <v>2024</v>
      </c>
      <c r="L725" t="s">
        <v>2102</v>
      </c>
    </row>
    <row r="726" spans="1:12">
      <c r="A726" s="55" t="s">
        <v>1349</v>
      </c>
      <c r="B726" t="str">
        <f t="shared" si="22"/>
        <v>soil </v>
      </c>
      <c r="F726" s="64" t="s">
        <v>1668</v>
      </c>
      <c r="G726" t="str">
        <f t="shared" si="23"/>
        <v>youth</v>
      </c>
      <c r="H726" t="s">
        <v>1668</v>
      </c>
      <c r="L726" t="s">
        <v>1668</v>
      </c>
    </row>
    <row r="727" spans="1:12">
      <c r="A727" t="s">
        <v>1645</v>
      </c>
      <c r="B727" t="str">
        <f t="shared" si="22"/>
        <v>solar</v>
      </c>
      <c r="F727" s="64" t="s">
        <v>2025</v>
      </c>
      <c r="G727" t="str">
        <f t="shared" si="23"/>
        <v>zai pits</v>
      </c>
      <c r="H727" t="s">
        <v>2025</v>
      </c>
      <c r="L727" t="s">
        <v>2025</v>
      </c>
    </row>
    <row r="728" spans="1:12">
      <c r="A728" s="55" t="s">
        <v>1335</v>
      </c>
      <c r="B728" t="str">
        <f t="shared" si="22"/>
        <v>solar </v>
      </c>
      <c r="F728" s="64" t="s">
        <v>2025</v>
      </c>
      <c r="G728" t="str">
        <f t="shared" si="23"/>
        <v>zai pits</v>
      </c>
      <c r="H728" t="s">
        <v>2025</v>
      </c>
      <c r="L728" t="s">
        <v>2025</v>
      </c>
    </row>
    <row r="729" spans="1:12">
      <c r="A729" t="s">
        <v>1676</v>
      </c>
      <c r="B729" t="str">
        <f t="shared" si="22"/>
        <v>sovereighnty</v>
      </c>
      <c r="F729" s="64" t="s">
        <v>2026</v>
      </c>
      <c r="G729" t="str">
        <f t="shared" si="23"/>
        <v>zinc</v>
      </c>
      <c r="H729" t="s">
        <v>2026</v>
      </c>
      <c r="L729" t="s">
        <v>2026</v>
      </c>
    </row>
    <row r="730" spans="1:12">
      <c r="A730" t="s">
        <v>1781</v>
      </c>
      <c r="B730" t="str">
        <f t="shared" si="22"/>
        <v>sovereignty </v>
      </c>
    </row>
    <row r="731" spans="1:12">
      <c r="A731" t="s">
        <v>1654</v>
      </c>
      <c r="B731" t="str">
        <f t="shared" si="22"/>
        <v>spatial diversity</v>
      </c>
    </row>
    <row r="732" spans="1:12">
      <c r="A732" s="55" t="s">
        <v>1298</v>
      </c>
      <c r="B732" t="str">
        <f t="shared" si="22"/>
        <v>spatial diversity </v>
      </c>
    </row>
    <row r="733" spans="1:12">
      <c r="A733" t="s">
        <v>605</v>
      </c>
      <c r="B733" t="str">
        <f t="shared" si="22"/>
        <v>species</v>
      </c>
    </row>
    <row r="734" spans="1:12">
      <c r="A734" t="s">
        <v>1632</v>
      </c>
      <c r="B734" t="str">
        <f t="shared" si="22"/>
        <v xml:space="preserve">species </v>
      </c>
    </row>
    <row r="735" spans="1:12">
      <c r="A735" t="s">
        <v>1313</v>
      </c>
      <c r="B735" t="str">
        <f t="shared" si="22"/>
        <v>species </v>
      </c>
    </row>
    <row r="736" spans="1:12">
      <c r="A736" t="s">
        <v>629</v>
      </c>
      <c r="B736" t="str">
        <f t="shared" si="22"/>
        <v>stewardship</v>
      </c>
    </row>
    <row r="737" spans="1:2">
      <c r="A737" t="s">
        <v>1381</v>
      </c>
      <c r="B737" t="str">
        <f t="shared" si="22"/>
        <v>stewardship </v>
      </c>
    </row>
    <row r="738" spans="1:2">
      <c r="A738" t="s">
        <v>639</v>
      </c>
      <c r="B738" t="str">
        <f t="shared" si="22"/>
        <v>storage</v>
      </c>
    </row>
    <row r="739" spans="1:2">
      <c r="A739" t="s">
        <v>639</v>
      </c>
      <c r="B739" t="str">
        <f t="shared" si="22"/>
        <v>storage</v>
      </c>
    </row>
    <row r="740" spans="1:2">
      <c r="A740" t="s">
        <v>1572</v>
      </c>
      <c r="B740" t="str">
        <f t="shared" si="22"/>
        <v>storage </v>
      </c>
    </row>
    <row r="741" spans="1:2">
      <c r="A741" t="s">
        <v>1655</v>
      </c>
      <c r="B741" t="str">
        <f t="shared" si="22"/>
        <v>strip cropping</v>
      </c>
    </row>
    <row r="742" spans="1:2">
      <c r="A742" s="55" t="s">
        <v>1299</v>
      </c>
      <c r="B742" t="str">
        <f t="shared" si="22"/>
        <v>strip cropping </v>
      </c>
    </row>
    <row r="743" spans="1:2">
      <c r="A743" t="s">
        <v>1275</v>
      </c>
      <c r="B743" t="str">
        <f t="shared" si="22"/>
        <v>subsidies </v>
      </c>
    </row>
    <row r="744" spans="1:2">
      <c r="A744" s="60" t="s">
        <v>1720</v>
      </c>
      <c r="B744" t="str">
        <f t="shared" si="22"/>
        <v>sub-surface hardness</v>
      </c>
    </row>
    <row r="745" spans="1:2">
      <c r="A745" t="s">
        <v>1716</v>
      </c>
      <c r="B745" t="str">
        <f t="shared" si="22"/>
        <v>surface hardness</v>
      </c>
    </row>
    <row r="746" spans="1:2">
      <c r="A746" t="s">
        <v>645</v>
      </c>
      <c r="B746" t="str">
        <f t="shared" si="22"/>
        <v>sustainable</v>
      </c>
    </row>
    <row r="747" spans="1:2">
      <c r="A747" t="s">
        <v>645</v>
      </c>
      <c r="B747" t="str">
        <f t="shared" si="22"/>
        <v>sustainable</v>
      </c>
    </row>
    <row r="748" spans="1:2">
      <c r="A748" t="s">
        <v>1578</v>
      </c>
      <c r="B748" t="str">
        <f t="shared" si="22"/>
        <v>sustainable </v>
      </c>
    </row>
    <row r="749" spans="1:2" ht="16.8">
      <c r="A749" s="2" t="s">
        <v>659</v>
      </c>
      <c r="B749" t="str">
        <f t="shared" si="22"/>
        <v>synergy</v>
      </c>
    </row>
    <row r="750" spans="1:2">
      <c r="A750" t="s">
        <v>1365</v>
      </c>
      <c r="B750" t="str">
        <f t="shared" si="22"/>
        <v>synergy </v>
      </c>
    </row>
    <row r="751" spans="1:2">
      <c r="A751" t="s">
        <v>1708</v>
      </c>
      <c r="B751" t="str">
        <f t="shared" si="22"/>
        <v>tacit knowledge</v>
      </c>
    </row>
    <row r="752" spans="1:2">
      <c r="A752" t="s">
        <v>1636</v>
      </c>
      <c r="B752" t="str">
        <f t="shared" si="22"/>
        <v>terrace</v>
      </c>
    </row>
    <row r="753" spans="1:2">
      <c r="A753" s="55" t="s">
        <v>1764</v>
      </c>
      <c r="B753" t="str">
        <f t="shared" si="22"/>
        <v>terrace </v>
      </c>
    </row>
    <row r="754" spans="1:2">
      <c r="A754" t="s">
        <v>1413</v>
      </c>
      <c r="B754" t="str">
        <f t="shared" si="22"/>
        <v>terracing</v>
      </c>
    </row>
    <row r="755" spans="1:2">
      <c r="A755" t="s">
        <v>1406</v>
      </c>
      <c r="B755" t="str">
        <f t="shared" si="22"/>
        <v>terracing </v>
      </c>
    </row>
    <row r="756" spans="1:2">
      <c r="A756" t="s">
        <v>472</v>
      </c>
      <c r="B756" t="str">
        <f t="shared" si="22"/>
        <v>texture</v>
      </c>
    </row>
    <row r="757" spans="1:2">
      <c r="A757" t="s">
        <v>483</v>
      </c>
      <c r="B757" t="str">
        <f t="shared" si="22"/>
        <v>total organic carbon</v>
      </c>
    </row>
    <row r="758" spans="1:2">
      <c r="A758" t="s">
        <v>542</v>
      </c>
      <c r="B758" t="str">
        <f t="shared" si="22"/>
        <v>tradition</v>
      </c>
    </row>
    <row r="759" spans="1:2">
      <c r="A759" t="s">
        <v>542</v>
      </c>
      <c r="B759" t="str">
        <f t="shared" si="22"/>
        <v>tradition</v>
      </c>
    </row>
    <row r="760" spans="1:2">
      <c r="A760" t="s">
        <v>1533</v>
      </c>
      <c r="B760" t="str">
        <f t="shared" si="22"/>
        <v>tradition </v>
      </c>
    </row>
    <row r="761" spans="1:2">
      <c r="A761" t="s">
        <v>533</v>
      </c>
      <c r="B761" t="str">
        <f t="shared" si="22"/>
        <v>traditional</v>
      </c>
    </row>
    <row r="762" spans="1:2">
      <c r="A762" t="s">
        <v>513</v>
      </c>
      <c r="B762" t="str">
        <f t="shared" si="22"/>
        <v>traditional knowledge</v>
      </c>
    </row>
    <row r="763" spans="1:2">
      <c r="A763" t="s">
        <v>513</v>
      </c>
      <c r="B763" t="str">
        <f t="shared" si="22"/>
        <v>traditional knowledge</v>
      </c>
    </row>
    <row r="764" spans="1:2">
      <c r="A764" t="s">
        <v>1192</v>
      </c>
      <c r="B764" t="str">
        <f t="shared" si="22"/>
        <v>traditional knowledge </v>
      </c>
    </row>
    <row r="765" spans="1:2">
      <c r="A765" t="s">
        <v>1748</v>
      </c>
      <c r="B765" t="str">
        <f t="shared" si="22"/>
        <v>traditional market </v>
      </c>
    </row>
    <row r="766" spans="1:2">
      <c r="A766" t="s">
        <v>1452</v>
      </c>
      <c r="B766" t="str">
        <f t="shared" si="22"/>
        <v>traditional </v>
      </c>
    </row>
    <row r="767" spans="1:2">
      <c r="A767" t="s">
        <v>1452</v>
      </c>
      <c r="B767" t="str">
        <f t="shared" si="22"/>
        <v>traditional </v>
      </c>
    </row>
    <row r="768" spans="1:2">
      <c r="A768" t="s">
        <v>532</v>
      </c>
      <c r="B768" t="str">
        <f t="shared" si="22"/>
        <v>transfer</v>
      </c>
    </row>
    <row r="769" spans="1:2">
      <c r="A769" s="13" t="s">
        <v>1451</v>
      </c>
      <c r="B769" t="str">
        <f t="shared" si="22"/>
        <v>transfer </v>
      </c>
    </row>
    <row r="770" spans="1:2">
      <c r="A770" t="s">
        <v>565</v>
      </c>
      <c r="B770" t="str">
        <f t="shared" ref="B770:B823" si="24">LOWER(A770)</f>
        <v>underrepresented</v>
      </c>
    </row>
    <row r="771" spans="1:2">
      <c r="A771" t="s">
        <v>1521</v>
      </c>
      <c r="B771" t="str">
        <f t="shared" si="24"/>
        <v>underrepresented </v>
      </c>
    </row>
    <row r="772" spans="1:2">
      <c r="A772" t="s">
        <v>541</v>
      </c>
      <c r="B772" t="str">
        <f t="shared" si="24"/>
        <v>uniqueness</v>
      </c>
    </row>
    <row r="773" spans="1:2">
      <c r="A773" s="35" t="s">
        <v>541</v>
      </c>
      <c r="B773" t="str">
        <f t="shared" si="24"/>
        <v>uniqueness</v>
      </c>
    </row>
    <row r="774" spans="1:2">
      <c r="A774" t="s">
        <v>1532</v>
      </c>
      <c r="B774" t="str">
        <f t="shared" si="24"/>
        <v>uniqueness </v>
      </c>
    </row>
    <row r="775" spans="1:2">
      <c r="A775" t="s">
        <v>1211</v>
      </c>
      <c r="B775" t="str">
        <f t="shared" si="24"/>
        <v>value addition </v>
      </c>
    </row>
    <row r="776" spans="1:2">
      <c r="A776" t="s">
        <v>1203</v>
      </c>
      <c r="B776" t="str">
        <f t="shared" si="24"/>
        <v>value chain </v>
      </c>
    </row>
    <row r="777" spans="1:2">
      <c r="A777" t="s">
        <v>503</v>
      </c>
      <c r="B777" t="str">
        <f t="shared" si="24"/>
        <v>value chains</v>
      </c>
    </row>
    <row r="778" spans="1:2">
      <c r="A778" t="s">
        <v>619</v>
      </c>
      <c r="B778" t="str">
        <f t="shared" si="24"/>
        <v>variety</v>
      </c>
    </row>
    <row r="779" spans="1:2">
      <c r="A779" t="s">
        <v>619</v>
      </c>
      <c r="B779" t="str">
        <f t="shared" si="24"/>
        <v>variety</v>
      </c>
    </row>
    <row r="780" spans="1:2">
      <c r="A780" t="s">
        <v>1371</v>
      </c>
      <c r="B780" t="str">
        <f t="shared" si="24"/>
        <v>variety </v>
      </c>
    </row>
    <row r="781" spans="1:2">
      <c r="A781" t="s">
        <v>590</v>
      </c>
      <c r="B781" t="str">
        <f t="shared" si="24"/>
        <v>vermicomposting</v>
      </c>
    </row>
    <row r="782" spans="1:2">
      <c r="A782" t="s">
        <v>590</v>
      </c>
      <c r="B782" t="str">
        <f t="shared" si="24"/>
        <v>vermicomposting</v>
      </c>
    </row>
    <row r="783" spans="1:2">
      <c r="A783" s="55" t="s">
        <v>1347</v>
      </c>
      <c r="B783" t="str">
        <f t="shared" si="24"/>
        <v>vermicomposting </v>
      </c>
    </row>
    <row r="784" spans="1:2">
      <c r="A784" t="s">
        <v>1749</v>
      </c>
      <c r="B784" t="str">
        <f t="shared" si="24"/>
        <v>wage </v>
      </c>
    </row>
    <row r="785" spans="1:2">
      <c r="A785" t="s">
        <v>577</v>
      </c>
      <c r="B785" t="str">
        <f t="shared" si="24"/>
        <v>waste</v>
      </c>
    </row>
    <row r="786" spans="1:2">
      <c r="A786" t="s">
        <v>1658</v>
      </c>
      <c r="B786" t="str">
        <f t="shared" si="24"/>
        <v>waste water</v>
      </c>
    </row>
    <row r="787" spans="1:2">
      <c r="A787" s="55" t="s">
        <v>1329</v>
      </c>
      <c r="B787" t="str">
        <f t="shared" si="24"/>
        <v>waste water </v>
      </c>
    </row>
    <row r="788" spans="1:2">
      <c r="A788" t="s">
        <v>1321</v>
      </c>
      <c r="B788" t="str">
        <f t="shared" si="24"/>
        <v>waste </v>
      </c>
    </row>
    <row r="789" spans="1:2">
      <c r="A789" t="s">
        <v>578</v>
      </c>
      <c r="B789" t="str">
        <f t="shared" si="24"/>
        <v>wastewater</v>
      </c>
    </row>
    <row r="790" spans="1:2">
      <c r="A790" t="s">
        <v>581</v>
      </c>
      <c r="B790" t="str">
        <f t="shared" si="24"/>
        <v>water</v>
      </c>
    </row>
    <row r="791" spans="1:2">
      <c r="A791" t="s">
        <v>581</v>
      </c>
      <c r="B791" t="str">
        <f t="shared" si="24"/>
        <v>water</v>
      </c>
    </row>
    <row r="792" spans="1:2">
      <c r="A792" t="s">
        <v>471</v>
      </c>
      <c r="B792" t="str">
        <f t="shared" si="24"/>
        <v>water holding capacity</v>
      </c>
    </row>
    <row r="793" spans="1:2">
      <c r="A793" s="55" t="s">
        <v>1331</v>
      </c>
      <c r="B793" t="str">
        <f t="shared" si="24"/>
        <v>water </v>
      </c>
    </row>
    <row r="794" spans="1:2">
      <c r="A794" t="s">
        <v>451</v>
      </c>
      <c r="B794" t="str">
        <f t="shared" si="24"/>
        <v>weed seed bank</v>
      </c>
    </row>
    <row r="795" spans="1:2">
      <c r="A795" t="s">
        <v>1434</v>
      </c>
      <c r="B795" t="str">
        <f t="shared" si="24"/>
        <v>weeds for food</v>
      </c>
    </row>
    <row r="796" spans="1:2">
      <c r="A796" t="s">
        <v>1765</v>
      </c>
      <c r="B796" t="str">
        <f t="shared" si="24"/>
        <v>weeds for food </v>
      </c>
    </row>
    <row r="797" spans="1:2">
      <c r="A797" t="s">
        <v>1435</v>
      </c>
      <c r="B797" t="str">
        <f t="shared" si="24"/>
        <v>weeds for forage</v>
      </c>
    </row>
    <row r="798" spans="1:2">
      <c r="A798" t="s">
        <v>1385</v>
      </c>
      <c r="B798" t="str">
        <f t="shared" si="24"/>
        <v>weeds for forage </v>
      </c>
    </row>
    <row r="799" spans="1:2">
      <c r="A799" s="35" t="s">
        <v>1685</v>
      </c>
      <c r="B799" t="str">
        <f t="shared" si="24"/>
        <v>well-being</v>
      </c>
    </row>
    <row r="800" spans="1:2">
      <c r="A800" t="s">
        <v>475</v>
      </c>
      <c r="B800" t="str">
        <f t="shared" si="24"/>
        <v>wet and dry aggregate size</v>
      </c>
    </row>
    <row r="801" spans="1:2">
      <c r="A801" t="s">
        <v>536</v>
      </c>
      <c r="B801" t="str">
        <f t="shared" si="24"/>
        <v>wisdom</v>
      </c>
    </row>
    <row r="802" spans="1:2">
      <c r="A802" t="s">
        <v>536</v>
      </c>
      <c r="B802" t="str">
        <f t="shared" si="24"/>
        <v>wisdom</v>
      </c>
    </row>
    <row r="803" spans="1:2">
      <c r="A803" t="s">
        <v>1455</v>
      </c>
      <c r="B803" t="str">
        <f t="shared" si="24"/>
        <v>wisdom </v>
      </c>
    </row>
    <row r="804" spans="1:2">
      <c r="A804" t="s">
        <v>1667</v>
      </c>
      <c r="B804" t="str">
        <f t="shared" si="24"/>
        <v>woman</v>
      </c>
    </row>
    <row r="805" spans="1:2">
      <c r="A805" t="s">
        <v>1666</v>
      </c>
      <c r="B805" t="str">
        <f t="shared" si="24"/>
        <v>women</v>
      </c>
    </row>
    <row r="806" spans="1:2">
      <c r="A806" t="s">
        <v>1665</v>
      </c>
      <c r="B806" t="str">
        <f t="shared" si="24"/>
        <v>women empowerment</v>
      </c>
    </row>
    <row r="807" spans="1:2">
      <c r="A807" t="s">
        <v>1782</v>
      </c>
      <c r="B807" t="str">
        <f t="shared" si="24"/>
        <v>women empowerment </v>
      </c>
    </row>
    <row r="808" spans="1:2">
      <c r="A808" t="s">
        <v>612</v>
      </c>
      <c r="B808" t="str">
        <f t="shared" si="24"/>
        <v>woodland</v>
      </c>
    </row>
    <row r="809" spans="1:2">
      <c r="A809" s="55" t="s">
        <v>1281</v>
      </c>
      <c r="B809" t="str">
        <f t="shared" si="24"/>
        <v>woodland </v>
      </c>
    </row>
    <row r="810" spans="1:2">
      <c r="A810" t="s">
        <v>1690</v>
      </c>
      <c r="B810" t="str">
        <f t="shared" si="24"/>
        <v>work</v>
      </c>
    </row>
    <row r="811" spans="1:2">
      <c r="A811" t="s">
        <v>1750</v>
      </c>
      <c r="B811" t="str">
        <f t="shared" si="24"/>
        <v>work </v>
      </c>
    </row>
    <row r="812" spans="1:2">
      <c r="A812" t="s">
        <v>510</v>
      </c>
      <c r="B812" t="str">
        <f t="shared" si="24"/>
        <v>working conditions</v>
      </c>
    </row>
    <row r="813" spans="1:2">
      <c r="A813" t="s">
        <v>510</v>
      </c>
      <c r="B813" t="str">
        <f t="shared" si="24"/>
        <v>working conditions</v>
      </c>
    </row>
    <row r="814" spans="1:2">
      <c r="A814" t="s">
        <v>1189</v>
      </c>
      <c r="B814" t="str">
        <f t="shared" si="24"/>
        <v>working conditions </v>
      </c>
    </row>
    <row r="815" spans="1:2">
      <c r="A815" t="s">
        <v>1189</v>
      </c>
      <c r="B815" t="str">
        <f t="shared" si="24"/>
        <v>working conditions </v>
      </c>
    </row>
    <row r="816" spans="1:2">
      <c r="A816" t="s">
        <v>591</v>
      </c>
      <c r="B816" t="str">
        <f t="shared" si="24"/>
        <v>worm</v>
      </c>
    </row>
    <row r="817" spans="1:2">
      <c r="A817" t="s">
        <v>1659</v>
      </c>
      <c r="B817" t="str">
        <f t="shared" si="24"/>
        <v xml:space="preserve">worm </v>
      </c>
    </row>
    <row r="818" spans="1:2">
      <c r="A818" s="55" t="s">
        <v>1348</v>
      </c>
      <c r="B818" t="str">
        <f t="shared" si="24"/>
        <v>worm </v>
      </c>
    </row>
    <row r="819" spans="1:2">
      <c r="A819" t="s">
        <v>1232</v>
      </c>
      <c r="B819" t="str">
        <f t="shared" si="24"/>
        <v>yoghurt making </v>
      </c>
    </row>
    <row r="820" spans="1:2">
      <c r="A820" t="s">
        <v>1668</v>
      </c>
      <c r="B820" t="str">
        <f t="shared" si="24"/>
        <v>youth</v>
      </c>
    </row>
    <row r="821" spans="1:2">
      <c r="A821" t="s">
        <v>1417</v>
      </c>
      <c r="B821" t="str">
        <f t="shared" si="24"/>
        <v>zai pits</v>
      </c>
    </row>
    <row r="822" spans="1:2">
      <c r="A822" t="s">
        <v>1585</v>
      </c>
      <c r="B822" t="str">
        <f t="shared" si="24"/>
        <v>zai pits </v>
      </c>
    </row>
    <row r="823" spans="1:2">
      <c r="A823" t="s">
        <v>462</v>
      </c>
      <c r="B823" t="str">
        <f t="shared" si="24"/>
        <v>zinc</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098B7-633A-4487-8C94-CCA8D7E17A48}">
  <dimension ref="A1:F689"/>
  <sheetViews>
    <sheetView workbookViewId="0">
      <selection activeCell="A2" sqref="A2:C689"/>
    </sheetView>
  </sheetViews>
  <sheetFormatPr defaultRowHeight="14.4"/>
  <cols>
    <col min="1" max="1" width="19.33203125" customWidth="1"/>
    <col min="2" max="2" width="39.33203125" customWidth="1"/>
    <col min="3" max="3" width="22.33203125" customWidth="1"/>
    <col min="4" max="4" width="14.44140625" customWidth="1"/>
    <col min="5" max="5" width="58.44140625" style="35" customWidth="1"/>
    <col min="6" max="6" width="40.109375" customWidth="1"/>
  </cols>
  <sheetData>
    <row r="1" spans="1:5" ht="18">
      <c r="A1" s="51" t="s">
        <v>1177</v>
      </c>
      <c r="B1" s="51" t="s">
        <v>1178</v>
      </c>
      <c r="C1" s="51" t="s">
        <v>1179</v>
      </c>
      <c r="D1" s="51"/>
      <c r="E1" s="52"/>
    </row>
    <row r="2" spans="1:5">
      <c r="A2" t="s">
        <v>1180</v>
      </c>
      <c r="B2" t="s">
        <v>1181</v>
      </c>
      <c r="C2" t="s">
        <v>1182</v>
      </c>
    </row>
    <row r="3" spans="1:5">
      <c r="A3" t="s">
        <v>1180</v>
      </c>
      <c r="B3" t="s">
        <v>1181</v>
      </c>
      <c r="C3" t="s">
        <v>1183</v>
      </c>
    </row>
    <row r="4" spans="1:5">
      <c r="A4" t="s">
        <v>1180</v>
      </c>
      <c r="B4" t="s">
        <v>1181</v>
      </c>
      <c r="C4" t="s">
        <v>1184</v>
      </c>
    </row>
    <row r="5" spans="1:5">
      <c r="A5" t="s">
        <v>1180</v>
      </c>
      <c r="B5" t="s">
        <v>1181</v>
      </c>
      <c r="C5" t="s">
        <v>1185</v>
      </c>
    </row>
    <row r="6" spans="1:5">
      <c r="A6" t="s">
        <v>1180</v>
      </c>
      <c r="B6" t="s">
        <v>1181</v>
      </c>
      <c r="C6" t="s">
        <v>1186</v>
      </c>
    </row>
    <row r="7" spans="1:5">
      <c r="A7" t="s">
        <v>1180</v>
      </c>
      <c r="B7" t="s">
        <v>1181</v>
      </c>
      <c r="C7" t="s">
        <v>1187</v>
      </c>
    </row>
    <row r="8" spans="1:5">
      <c r="A8" t="s">
        <v>1180</v>
      </c>
      <c r="B8" t="s">
        <v>1181</v>
      </c>
      <c r="C8" t="s">
        <v>1188</v>
      </c>
    </row>
    <row r="9" spans="1:5">
      <c r="A9" t="s">
        <v>1180</v>
      </c>
      <c r="B9" t="s">
        <v>1181</v>
      </c>
      <c r="C9" t="s">
        <v>1189</v>
      </c>
    </row>
    <row r="10" spans="1:5">
      <c r="A10" t="s">
        <v>1180</v>
      </c>
      <c r="B10" t="s">
        <v>1181</v>
      </c>
      <c r="C10" t="s">
        <v>1190</v>
      </c>
    </row>
    <row r="11" spans="1:5">
      <c r="A11" t="s">
        <v>1180</v>
      </c>
      <c r="B11" t="s">
        <v>1181</v>
      </c>
      <c r="C11" t="s">
        <v>1191</v>
      </c>
    </row>
    <row r="12" spans="1:5">
      <c r="A12" t="s">
        <v>1180</v>
      </c>
      <c r="B12" t="s">
        <v>1181</v>
      </c>
      <c r="C12" t="s">
        <v>1192</v>
      </c>
    </row>
    <row r="13" spans="1:5">
      <c r="A13" t="s">
        <v>1180</v>
      </c>
      <c r="B13" t="s">
        <v>1181</v>
      </c>
      <c r="C13" t="s">
        <v>1193</v>
      </c>
    </row>
    <row r="14" spans="1:5">
      <c r="A14" t="s">
        <v>1180</v>
      </c>
      <c r="B14" t="s">
        <v>1181</v>
      </c>
      <c r="C14" t="s">
        <v>1194</v>
      </c>
    </row>
    <row r="15" spans="1:5">
      <c r="A15" t="s">
        <v>1180</v>
      </c>
      <c r="B15" t="s">
        <v>1181</v>
      </c>
      <c r="C15" t="s">
        <v>1195</v>
      </c>
    </row>
    <row r="16" spans="1:5">
      <c r="A16" t="s">
        <v>1180</v>
      </c>
      <c r="B16" t="s">
        <v>1181</v>
      </c>
      <c r="C16" t="s">
        <v>1196</v>
      </c>
    </row>
    <row r="17" spans="1:3">
      <c r="A17" t="s">
        <v>1180</v>
      </c>
      <c r="B17" t="s">
        <v>1181</v>
      </c>
      <c r="C17" t="s">
        <v>1197</v>
      </c>
    </row>
    <row r="18" spans="1:3">
      <c r="A18" t="s">
        <v>1180</v>
      </c>
      <c r="B18" t="s">
        <v>1181</v>
      </c>
      <c r="C18" t="s">
        <v>1198</v>
      </c>
    </row>
    <row r="19" spans="1:3">
      <c r="A19" t="s">
        <v>1180</v>
      </c>
      <c r="B19" t="s">
        <v>1181</v>
      </c>
      <c r="C19" t="s">
        <v>1199</v>
      </c>
    </row>
    <row r="20" spans="1:3">
      <c r="A20" t="s">
        <v>1180</v>
      </c>
      <c r="B20" t="s">
        <v>1181</v>
      </c>
      <c r="C20" t="s">
        <v>1200</v>
      </c>
    </row>
    <row r="21" spans="1:3">
      <c r="A21" t="s">
        <v>1180</v>
      </c>
      <c r="B21" t="s">
        <v>1201</v>
      </c>
      <c r="C21" t="s">
        <v>1180</v>
      </c>
    </row>
    <row r="22" spans="1:3">
      <c r="A22" t="s">
        <v>1180</v>
      </c>
      <c r="B22" t="s">
        <v>1201</v>
      </c>
      <c r="C22" t="s">
        <v>1202</v>
      </c>
    </row>
    <row r="23" spans="1:3">
      <c r="A23" t="s">
        <v>1180</v>
      </c>
      <c r="B23" t="s">
        <v>1201</v>
      </c>
      <c r="C23" t="s">
        <v>1203</v>
      </c>
    </row>
    <row r="24" spans="1:3">
      <c r="A24" t="s">
        <v>1180</v>
      </c>
      <c r="B24" t="s">
        <v>1201</v>
      </c>
      <c r="C24" t="s">
        <v>1204</v>
      </c>
    </row>
    <row r="25" spans="1:3">
      <c r="A25" t="s">
        <v>1180</v>
      </c>
      <c r="B25" t="s">
        <v>1201</v>
      </c>
      <c r="C25" t="s">
        <v>1205</v>
      </c>
    </row>
    <row r="26" spans="1:3">
      <c r="A26" t="s">
        <v>1180</v>
      </c>
      <c r="B26" t="s">
        <v>1201</v>
      </c>
      <c r="C26" t="s">
        <v>1206</v>
      </c>
    </row>
    <row r="27" spans="1:3">
      <c r="A27" t="s">
        <v>1180</v>
      </c>
      <c r="B27" t="s">
        <v>1201</v>
      </c>
      <c r="C27" t="s">
        <v>1207</v>
      </c>
    </row>
    <row r="28" spans="1:3">
      <c r="A28" t="s">
        <v>1180</v>
      </c>
      <c r="B28" t="s">
        <v>1201</v>
      </c>
      <c r="C28" t="s">
        <v>1208</v>
      </c>
    </row>
    <row r="29" spans="1:3">
      <c r="A29" t="s">
        <v>1180</v>
      </c>
      <c r="B29" t="s">
        <v>1201</v>
      </c>
      <c r="C29" t="s">
        <v>1209</v>
      </c>
    </row>
    <row r="30" spans="1:3">
      <c r="A30" t="s">
        <v>1180</v>
      </c>
      <c r="B30" t="s">
        <v>1201</v>
      </c>
      <c r="C30" t="s">
        <v>1210</v>
      </c>
    </row>
    <row r="31" spans="1:3">
      <c r="A31" t="s">
        <v>1180</v>
      </c>
      <c r="B31" t="s">
        <v>1201</v>
      </c>
      <c r="C31" t="s">
        <v>1211</v>
      </c>
    </row>
    <row r="32" spans="1:3">
      <c r="A32" t="s">
        <v>1180</v>
      </c>
      <c r="B32" t="s">
        <v>1201</v>
      </c>
      <c r="C32" t="s">
        <v>1212</v>
      </c>
    </row>
    <row r="33" spans="1:3">
      <c r="A33" t="s">
        <v>1180</v>
      </c>
      <c r="B33" t="s">
        <v>1201</v>
      </c>
      <c r="C33" t="s">
        <v>1213</v>
      </c>
    </row>
    <row r="34" spans="1:3">
      <c r="A34" t="s">
        <v>1180</v>
      </c>
      <c r="B34" t="s">
        <v>1201</v>
      </c>
      <c r="C34" t="s">
        <v>1214</v>
      </c>
    </row>
    <row r="35" spans="1:3">
      <c r="A35" t="s">
        <v>1180</v>
      </c>
      <c r="B35" t="s">
        <v>1201</v>
      </c>
      <c r="C35" t="s">
        <v>1215</v>
      </c>
    </row>
    <row r="36" spans="1:3">
      <c r="A36" t="s">
        <v>1180</v>
      </c>
      <c r="B36" t="s">
        <v>1201</v>
      </c>
      <c r="C36" t="s">
        <v>1216</v>
      </c>
    </row>
    <row r="37" spans="1:3">
      <c r="A37" t="s">
        <v>1180</v>
      </c>
      <c r="B37" t="s">
        <v>1201</v>
      </c>
      <c r="C37" t="s">
        <v>1217</v>
      </c>
    </row>
    <row r="38" spans="1:3">
      <c r="A38" t="s">
        <v>1180</v>
      </c>
      <c r="B38" t="s">
        <v>1201</v>
      </c>
      <c r="C38" t="s">
        <v>1218</v>
      </c>
    </row>
    <row r="39" spans="1:3">
      <c r="A39" t="s">
        <v>1180</v>
      </c>
      <c r="B39" t="s">
        <v>1201</v>
      </c>
      <c r="C39" t="s">
        <v>1219</v>
      </c>
    </row>
    <row r="40" spans="1:3">
      <c r="A40" t="s">
        <v>1180</v>
      </c>
      <c r="B40" t="s">
        <v>1201</v>
      </c>
      <c r="C40" t="s">
        <v>1220</v>
      </c>
    </row>
    <row r="41" spans="1:3">
      <c r="A41" t="s">
        <v>1180</v>
      </c>
      <c r="B41" t="s">
        <v>1201</v>
      </c>
      <c r="C41" t="s">
        <v>1221</v>
      </c>
    </row>
    <row r="42" spans="1:3">
      <c r="A42" t="s">
        <v>1180</v>
      </c>
      <c r="B42" t="s">
        <v>1201</v>
      </c>
      <c r="C42" t="s">
        <v>1222</v>
      </c>
    </row>
    <row r="43" spans="1:3">
      <c r="A43" t="s">
        <v>1180</v>
      </c>
      <c r="B43" t="s">
        <v>1201</v>
      </c>
      <c r="C43" t="s">
        <v>1223</v>
      </c>
    </row>
    <row r="44" spans="1:3">
      <c r="A44" t="s">
        <v>1180</v>
      </c>
      <c r="B44" t="s">
        <v>1201</v>
      </c>
      <c r="C44" t="s">
        <v>1224</v>
      </c>
    </row>
    <row r="45" spans="1:3">
      <c r="A45" t="s">
        <v>1180</v>
      </c>
      <c r="B45" t="s">
        <v>1201</v>
      </c>
      <c r="C45" t="s">
        <v>1225</v>
      </c>
    </row>
    <row r="46" spans="1:3">
      <c r="A46" t="s">
        <v>1180</v>
      </c>
      <c r="B46" t="s">
        <v>1201</v>
      </c>
      <c r="C46" t="s">
        <v>1226</v>
      </c>
    </row>
    <row r="47" spans="1:3">
      <c r="A47" t="s">
        <v>1180</v>
      </c>
      <c r="B47" t="s">
        <v>1201</v>
      </c>
      <c r="C47" t="s">
        <v>1211</v>
      </c>
    </row>
    <row r="48" spans="1:3">
      <c r="A48" t="s">
        <v>1180</v>
      </c>
      <c r="B48" t="s">
        <v>1201</v>
      </c>
      <c r="C48" t="s">
        <v>1227</v>
      </c>
    </row>
    <row r="49" spans="1:3">
      <c r="A49" t="s">
        <v>1180</v>
      </c>
      <c r="B49" t="s">
        <v>1201</v>
      </c>
      <c r="C49" t="s">
        <v>1228</v>
      </c>
    </row>
    <row r="50" spans="1:3">
      <c r="A50" t="s">
        <v>1180</v>
      </c>
      <c r="B50" t="s">
        <v>1201</v>
      </c>
      <c r="C50" t="s">
        <v>1229</v>
      </c>
    </row>
    <row r="51" spans="1:3">
      <c r="A51" t="s">
        <v>1180</v>
      </c>
      <c r="B51" t="s">
        <v>1201</v>
      </c>
      <c r="C51" t="s">
        <v>1230</v>
      </c>
    </row>
    <row r="52" spans="1:3">
      <c r="A52" t="s">
        <v>1180</v>
      </c>
      <c r="B52" t="s">
        <v>1201</v>
      </c>
      <c r="C52" t="s">
        <v>1231</v>
      </c>
    </row>
    <row r="53" spans="1:3">
      <c r="A53" t="s">
        <v>1180</v>
      </c>
      <c r="B53" t="s">
        <v>1201</v>
      </c>
      <c r="C53" t="s">
        <v>1232</v>
      </c>
    </row>
    <row r="54" spans="1:3">
      <c r="A54" t="s">
        <v>1180</v>
      </c>
      <c r="B54" t="s">
        <v>1201</v>
      </c>
      <c r="C54" t="s">
        <v>1233</v>
      </c>
    </row>
    <row r="55" spans="1:3">
      <c r="A55" t="s">
        <v>1180</v>
      </c>
      <c r="B55" t="s">
        <v>1201</v>
      </c>
      <c r="C55" t="s">
        <v>1234</v>
      </c>
    </row>
    <row r="56" spans="1:3">
      <c r="A56" t="s">
        <v>1180</v>
      </c>
      <c r="B56" t="s">
        <v>1201</v>
      </c>
      <c r="C56" t="s">
        <v>1235</v>
      </c>
    </row>
    <row r="57" spans="1:3">
      <c r="A57" t="s">
        <v>1180</v>
      </c>
      <c r="B57" t="s">
        <v>1201</v>
      </c>
      <c r="C57" t="s">
        <v>1236</v>
      </c>
    </row>
    <row r="58" spans="1:3">
      <c r="A58" t="s">
        <v>1180</v>
      </c>
      <c r="B58" t="s">
        <v>1201</v>
      </c>
      <c r="C58" t="s">
        <v>1237</v>
      </c>
    </row>
    <row r="59" spans="1:3">
      <c r="A59" t="s">
        <v>1180</v>
      </c>
      <c r="B59" t="s">
        <v>1201</v>
      </c>
      <c r="C59" t="s">
        <v>1238</v>
      </c>
    </row>
    <row r="60" spans="1:3">
      <c r="A60" t="s">
        <v>1180</v>
      </c>
      <c r="B60" t="s">
        <v>1201</v>
      </c>
      <c r="C60" t="s">
        <v>1239</v>
      </c>
    </row>
    <row r="61" spans="1:3">
      <c r="A61" t="s">
        <v>1180</v>
      </c>
      <c r="B61" t="s">
        <v>1201</v>
      </c>
      <c r="C61" t="s">
        <v>1240</v>
      </c>
    </row>
    <row r="62" spans="1:3">
      <c r="A62" t="s">
        <v>1180</v>
      </c>
      <c r="B62" t="s">
        <v>1201</v>
      </c>
      <c r="C62" t="s">
        <v>1241</v>
      </c>
    </row>
    <row r="63" spans="1:3">
      <c r="A63" t="s">
        <v>1180</v>
      </c>
      <c r="B63" t="s">
        <v>1201</v>
      </c>
      <c r="C63" t="s">
        <v>1242</v>
      </c>
    </row>
    <row r="64" spans="1:3">
      <c r="A64" t="s">
        <v>1180</v>
      </c>
      <c r="B64" t="s">
        <v>1201</v>
      </c>
      <c r="C64" t="s">
        <v>1243</v>
      </c>
    </row>
    <row r="65" spans="1:3">
      <c r="A65" t="s">
        <v>1180</v>
      </c>
      <c r="B65" t="s">
        <v>1201</v>
      </c>
      <c r="C65" t="s">
        <v>1244</v>
      </c>
    </row>
    <row r="66" spans="1:3">
      <c r="A66" t="s">
        <v>1180</v>
      </c>
      <c r="B66" t="s">
        <v>1201</v>
      </c>
      <c r="C66" t="s">
        <v>1245</v>
      </c>
    </row>
    <row r="67" spans="1:3">
      <c r="A67" t="s">
        <v>1180</v>
      </c>
      <c r="B67" t="s">
        <v>1201</v>
      </c>
      <c r="C67" t="s">
        <v>1246</v>
      </c>
    </row>
    <row r="68" spans="1:3">
      <c r="A68" t="s">
        <v>1180</v>
      </c>
      <c r="B68" t="s">
        <v>1201</v>
      </c>
      <c r="C68" t="s">
        <v>1247</v>
      </c>
    </row>
    <row r="69" spans="1:3">
      <c r="A69" t="s">
        <v>1180</v>
      </c>
      <c r="B69" t="s">
        <v>1201</v>
      </c>
      <c r="C69" t="s">
        <v>1248</v>
      </c>
    </row>
    <row r="70" spans="1:3">
      <c r="A70" t="s">
        <v>1180</v>
      </c>
      <c r="B70" t="s">
        <v>1201</v>
      </c>
      <c r="C70" t="s">
        <v>1249</v>
      </c>
    </row>
    <row r="71" spans="1:3">
      <c r="A71" t="s">
        <v>1180</v>
      </c>
      <c r="B71" t="s">
        <v>1201</v>
      </c>
      <c r="C71" t="s">
        <v>1250</v>
      </c>
    </row>
    <row r="72" spans="1:3">
      <c r="A72" t="s">
        <v>1180</v>
      </c>
      <c r="B72" t="s">
        <v>1201</v>
      </c>
      <c r="C72" t="s">
        <v>1251</v>
      </c>
    </row>
    <row r="73" spans="1:3">
      <c r="A73" t="s">
        <v>1180</v>
      </c>
      <c r="B73" t="s">
        <v>1201</v>
      </c>
      <c r="C73" t="s">
        <v>1252</v>
      </c>
    </row>
    <row r="74" spans="1:3">
      <c r="A74" t="s">
        <v>1180</v>
      </c>
      <c r="B74" t="s">
        <v>1201</v>
      </c>
    </row>
    <row r="75" spans="1:3">
      <c r="A75" t="s">
        <v>1180</v>
      </c>
      <c r="B75" t="s">
        <v>1253</v>
      </c>
      <c r="C75" t="s">
        <v>1254</v>
      </c>
    </row>
    <row r="76" spans="1:3">
      <c r="A76" t="s">
        <v>1180</v>
      </c>
      <c r="B76" t="s">
        <v>1253</v>
      </c>
      <c r="C76" t="s">
        <v>1255</v>
      </c>
    </row>
    <row r="77" spans="1:3">
      <c r="A77" t="s">
        <v>1180</v>
      </c>
      <c r="B77" t="s">
        <v>1253</v>
      </c>
      <c r="C77" t="s">
        <v>1256</v>
      </c>
    </row>
    <row r="78" spans="1:3">
      <c r="A78" t="s">
        <v>1180</v>
      </c>
      <c r="B78" t="s">
        <v>1253</v>
      </c>
      <c r="C78" t="s">
        <v>1257</v>
      </c>
    </row>
    <row r="79" spans="1:3">
      <c r="A79" t="s">
        <v>1180</v>
      </c>
      <c r="B79" t="s">
        <v>1253</v>
      </c>
      <c r="C79" t="s">
        <v>1258</v>
      </c>
    </row>
    <row r="80" spans="1:3">
      <c r="A80" t="s">
        <v>1180</v>
      </c>
      <c r="B80" t="s">
        <v>1253</v>
      </c>
      <c r="C80" t="s">
        <v>1259</v>
      </c>
    </row>
    <row r="81" spans="1:3">
      <c r="A81" t="s">
        <v>1180</v>
      </c>
      <c r="B81" t="s">
        <v>1253</v>
      </c>
      <c r="C81" t="s">
        <v>1260</v>
      </c>
    </row>
    <row r="82" spans="1:3">
      <c r="A82" t="s">
        <v>1180</v>
      </c>
      <c r="B82" t="s">
        <v>1253</v>
      </c>
      <c r="C82" t="s">
        <v>1261</v>
      </c>
    </row>
    <row r="83" spans="1:3">
      <c r="A83" t="s">
        <v>1180</v>
      </c>
      <c r="B83" t="s">
        <v>1253</v>
      </c>
      <c r="C83" t="s">
        <v>1262</v>
      </c>
    </row>
    <row r="84" spans="1:3">
      <c r="A84" t="s">
        <v>1180</v>
      </c>
      <c r="B84" t="s">
        <v>1253</v>
      </c>
      <c r="C84" t="s">
        <v>1263</v>
      </c>
    </row>
    <row r="85" spans="1:3">
      <c r="A85" t="s">
        <v>1180</v>
      </c>
      <c r="B85" t="s">
        <v>1253</v>
      </c>
      <c r="C85" t="s">
        <v>1264</v>
      </c>
    </row>
    <row r="86" spans="1:3">
      <c r="A86" t="s">
        <v>1180</v>
      </c>
      <c r="B86" t="s">
        <v>1253</v>
      </c>
      <c r="C86" t="s">
        <v>1265</v>
      </c>
    </row>
    <row r="87" spans="1:3">
      <c r="A87" t="s">
        <v>1180</v>
      </c>
      <c r="B87" t="s">
        <v>1253</v>
      </c>
      <c r="C87" t="s">
        <v>1266</v>
      </c>
    </row>
    <row r="88" spans="1:3">
      <c r="A88" t="s">
        <v>1180</v>
      </c>
      <c r="B88" t="s">
        <v>1253</v>
      </c>
      <c r="C88" t="s">
        <v>1267</v>
      </c>
    </row>
    <row r="89" spans="1:3">
      <c r="A89" t="s">
        <v>1180</v>
      </c>
      <c r="B89" t="s">
        <v>1253</v>
      </c>
      <c r="C89" t="s">
        <v>1268</v>
      </c>
    </row>
    <row r="90" spans="1:3">
      <c r="A90" t="s">
        <v>1180</v>
      </c>
      <c r="B90" t="s">
        <v>1253</v>
      </c>
      <c r="C90" t="s">
        <v>1269</v>
      </c>
    </row>
    <row r="91" spans="1:3">
      <c r="A91" t="s">
        <v>1180</v>
      </c>
      <c r="B91" t="s">
        <v>1253</v>
      </c>
      <c r="C91" t="s">
        <v>1270</v>
      </c>
    </row>
    <row r="92" spans="1:3">
      <c r="A92" t="s">
        <v>1180</v>
      </c>
      <c r="B92" t="s">
        <v>1253</v>
      </c>
      <c r="C92" t="s">
        <v>1271</v>
      </c>
    </row>
    <row r="93" spans="1:3">
      <c r="A93" t="s">
        <v>1180</v>
      </c>
      <c r="B93" t="s">
        <v>1253</v>
      </c>
      <c r="C93" t="s">
        <v>1272</v>
      </c>
    </row>
    <row r="94" spans="1:3">
      <c r="A94" t="s">
        <v>1180</v>
      </c>
      <c r="B94" t="s">
        <v>1253</v>
      </c>
      <c r="C94" t="s">
        <v>1273</v>
      </c>
    </row>
    <row r="95" spans="1:3">
      <c r="A95" t="s">
        <v>1180</v>
      </c>
      <c r="B95" t="s">
        <v>1253</v>
      </c>
      <c r="C95" t="s">
        <v>1274</v>
      </c>
    </row>
    <row r="96" spans="1:3">
      <c r="A96" t="s">
        <v>1180</v>
      </c>
      <c r="B96" t="s">
        <v>1253</v>
      </c>
      <c r="C96" t="s">
        <v>1275</v>
      </c>
    </row>
    <row r="97" spans="1:6" s="53" customFormat="1">
      <c r="A97" s="53" t="s">
        <v>1276</v>
      </c>
      <c r="B97" s="53" t="s">
        <v>1277</v>
      </c>
      <c r="C97" s="53" t="s">
        <v>1278</v>
      </c>
      <c r="E97" s="54"/>
      <c r="F97" s="54"/>
    </row>
    <row r="98" spans="1:6">
      <c r="A98" t="s">
        <v>1276</v>
      </c>
      <c r="B98" t="s">
        <v>1277</v>
      </c>
      <c r="C98" t="s">
        <v>1279</v>
      </c>
      <c r="F98" s="35"/>
    </row>
    <row r="99" spans="1:6">
      <c r="A99" t="s">
        <v>1276</v>
      </c>
      <c r="B99" t="s">
        <v>1277</v>
      </c>
      <c r="C99" t="s">
        <v>1280</v>
      </c>
      <c r="F99" s="35"/>
    </row>
    <row r="100" spans="1:6">
      <c r="A100" s="55" t="s">
        <v>1276</v>
      </c>
      <c r="B100" s="55" t="s">
        <v>1277</v>
      </c>
      <c r="C100" s="55" t="s">
        <v>1281</v>
      </c>
      <c r="D100" s="55"/>
    </row>
    <row r="101" spans="1:6">
      <c r="A101" s="55" t="s">
        <v>1276</v>
      </c>
      <c r="B101" s="55" t="s">
        <v>1277</v>
      </c>
      <c r="C101" s="55" t="s">
        <v>1282</v>
      </c>
      <c r="D101" s="55"/>
    </row>
    <row r="102" spans="1:6">
      <c r="A102" s="55" t="s">
        <v>1276</v>
      </c>
      <c r="B102" s="55" t="s">
        <v>1277</v>
      </c>
      <c r="C102" s="55" t="s">
        <v>1283</v>
      </c>
      <c r="D102" s="55"/>
    </row>
    <row r="103" spans="1:6">
      <c r="A103" s="55" t="s">
        <v>1276</v>
      </c>
      <c r="B103" s="55" t="s">
        <v>1277</v>
      </c>
      <c r="C103" s="55" t="s">
        <v>1284</v>
      </c>
      <c r="D103" s="55"/>
    </row>
    <row r="104" spans="1:6">
      <c r="A104" s="55" t="s">
        <v>1276</v>
      </c>
      <c r="B104" s="55" t="s">
        <v>1277</v>
      </c>
      <c r="C104" s="55" t="s">
        <v>1285</v>
      </c>
      <c r="D104" s="55"/>
    </row>
    <row r="105" spans="1:6">
      <c r="A105" s="55" t="s">
        <v>1276</v>
      </c>
      <c r="B105" s="55" t="s">
        <v>1277</v>
      </c>
      <c r="C105" s="55" t="s">
        <v>1286</v>
      </c>
      <c r="D105" s="55"/>
    </row>
    <row r="106" spans="1:6">
      <c r="A106" s="55" t="s">
        <v>1276</v>
      </c>
      <c r="B106" s="55" t="s">
        <v>1277</v>
      </c>
      <c r="C106" s="55" t="s">
        <v>1287</v>
      </c>
      <c r="D106" s="55"/>
    </row>
    <row r="107" spans="1:6">
      <c r="A107" s="55" t="s">
        <v>1276</v>
      </c>
      <c r="B107" s="55" t="s">
        <v>1277</v>
      </c>
      <c r="C107" s="55" t="s">
        <v>1288</v>
      </c>
      <c r="D107" s="55"/>
    </row>
    <row r="108" spans="1:6">
      <c r="A108" s="55" t="s">
        <v>1276</v>
      </c>
      <c r="B108" s="55" t="s">
        <v>1277</v>
      </c>
      <c r="C108" s="55" t="s">
        <v>1289</v>
      </c>
      <c r="D108" s="55"/>
    </row>
    <row r="109" spans="1:6">
      <c r="A109" s="55" t="s">
        <v>1276</v>
      </c>
      <c r="B109" s="55" t="s">
        <v>1277</v>
      </c>
      <c r="C109" s="55" t="s">
        <v>1290</v>
      </c>
      <c r="D109" s="55"/>
    </row>
    <row r="110" spans="1:6">
      <c r="A110" s="55" t="s">
        <v>1276</v>
      </c>
      <c r="B110" s="55" t="s">
        <v>1277</v>
      </c>
      <c r="C110" s="55" t="s">
        <v>1291</v>
      </c>
      <c r="D110" s="55"/>
    </row>
    <row r="111" spans="1:6">
      <c r="A111" s="55" t="s">
        <v>1276</v>
      </c>
      <c r="B111" s="55" t="s">
        <v>1277</v>
      </c>
      <c r="C111" s="55" t="s">
        <v>1292</v>
      </c>
      <c r="D111" s="55"/>
    </row>
    <row r="112" spans="1:6">
      <c r="A112" s="55" t="s">
        <v>1276</v>
      </c>
      <c r="B112" s="55" t="s">
        <v>1277</v>
      </c>
      <c r="C112" s="55" t="s">
        <v>1293</v>
      </c>
      <c r="D112" s="55"/>
    </row>
    <row r="113" spans="1:5">
      <c r="A113" s="55" t="s">
        <v>1276</v>
      </c>
      <c r="B113" s="55" t="s">
        <v>1277</v>
      </c>
      <c r="C113" s="55" t="s">
        <v>1294</v>
      </c>
      <c r="D113" s="55"/>
    </row>
    <row r="114" spans="1:5">
      <c r="A114" s="55" t="s">
        <v>1276</v>
      </c>
      <c r="B114" s="55" t="s">
        <v>1277</v>
      </c>
      <c r="C114" s="55" t="s">
        <v>1295</v>
      </c>
      <c r="D114" s="55"/>
    </row>
    <row r="115" spans="1:5">
      <c r="A115" s="55" t="s">
        <v>1276</v>
      </c>
      <c r="B115" s="55" t="s">
        <v>1277</v>
      </c>
      <c r="C115" s="55" t="s">
        <v>1296</v>
      </c>
      <c r="D115" s="55"/>
    </row>
    <row r="116" spans="1:5">
      <c r="A116" s="55" t="s">
        <v>1276</v>
      </c>
      <c r="B116" s="55" t="s">
        <v>1277</v>
      </c>
      <c r="C116" s="55" t="s">
        <v>1297</v>
      </c>
      <c r="D116" s="55"/>
    </row>
    <row r="117" spans="1:5">
      <c r="A117" s="55" t="s">
        <v>1276</v>
      </c>
      <c r="B117" s="55" t="s">
        <v>1277</v>
      </c>
      <c r="C117" s="55" t="s">
        <v>1298</v>
      </c>
      <c r="D117" s="55"/>
    </row>
    <row r="118" spans="1:5">
      <c r="A118" s="55" t="s">
        <v>1276</v>
      </c>
      <c r="B118" s="55" t="s">
        <v>1277</v>
      </c>
      <c r="C118" s="55" t="s">
        <v>1299</v>
      </c>
      <c r="D118" s="55"/>
    </row>
    <row r="119" spans="1:5">
      <c r="A119" s="55" t="s">
        <v>1276</v>
      </c>
      <c r="B119" s="55" t="s">
        <v>1277</v>
      </c>
      <c r="C119" s="55" t="s">
        <v>1300</v>
      </c>
      <c r="D119" s="55"/>
    </row>
    <row r="120" spans="1:5">
      <c r="A120" s="55" t="s">
        <v>1276</v>
      </c>
      <c r="B120" s="55" t="s">
        <v>1277</v>
      </c>
      <c r="C120" s="55" t="s">
        <v>1301</v>
      </c>
      <c r="D120" s="55"/>
    </row>
    <row r="121" spans="1:5" s="58" customFormat="1">
      <c r="A121" s="56" t="s">
        <v>1276</v>
      </c>
      <c r="B121" s="56" t="s">
        <v>1277</v>
      </c>
      <c r="C121" s="56" t="s">
        <v>1302</v>
      </c>
      <c r="D121" s="56"/>
      <c r="E121" s="57"/>
    </row>
    <row r="122" spans="1:5">
      <c r="A122" s="55" t="s">
        <v>1276</v>
      </c>
      <c r="B122" s="55" t="s">
        <v>1277</v>
      </c>
      <c r="C122" s="55" t="s">
        <v>1303</v>
      </c>
      <c r="D122" s="55"/>
    </row>
    <row r="123" spans="1:5">
      <c r="A123" s="55" t="s">
        <v>1276</v>
      </c>
      <c r="B123" s="55" t="s">
        <v>1277</v>
      </c>
      <c r="C123" s="55" t="s">
        <v>1304</v>
      </c>
      <c r="D123" s="55"/>
    </row>
    <row r="124" spans="1:5">
      <c r="A124" s="55" t="s">
        <v>1276</v>
      </c>
      <c r="B124" s="55" t="s">
        <v>1277</v>
      </c>
      <c r="C124" s="55" t="s">
        <v>1305</v>
      </c>
      <c r="D124" s="55"/>
    </row>
    <row r="125" spans="1:5">
      <c r="A125" s="55" t="s">
        <v>1276</v>
      </c>
      <c r="B125" s="55" t="s">
        <v>1277</v>
      </c>
      <c r="C125" s="55" t="s">
        <v>1306</v>
      </c>
      <c r="D125" s="55"/>
    </row>
    <row r="126" spans="1:5">
      <c r="A126" s="55" t="s">
        <v>1276</v>
      </c>
      <c r="B126" s="55" t="s">
        <v>1277</v>
      </c>
      <c r="C126" s="55" t="s">
        <v>1307</v>
      </c>
      <c r="D126" s="55"/>
    </row>
    <row r="127" spans="1:5">
      <c r="A127" s="55" t="s">
        <v>1276</v>
      </c>
      <c r="B127" s="55" t="s">
        <v>1277</v>
      </c>
      <c r="C127" s="55" t="s">
        <v>1308</v>
      </c>
      <c r="D127" s="55"/>
    </row>
    <row r="128" spans="1:5">
      <c r="A128" s="55" t="s">
        <v>1276</v>
      </c>
      <c r="B128" s="55" t="s">
        <v>1277</v>
      </c>
      <c r="C128" s="55" t="s">
        <v>1309</v>
      </c>
      <c r="D128" s="55"/>
    </row>
    <row r="129" spans="1:6">
      <c r="A129" s="55" t="s">
        <v>1276</v>
      </c>
      <c r="B129" s="55" t="s">
        <v>1277</v>
      </c>
      <c r="C129" s="55" t="s">
        <v>1310</v>
      </c>
      <c r="D129" s="55"/>
    </row>
    <row r="130" spans="1:6">
      <c r="A130" t="s">
        <v>1276</v>
      </c>
      <c r="B130" t="s">
        <v>1277</v>
      </c>
      <c r="C130" t="s">
        <v>1311</v>
      </c>
    </row>
    <row r="131" spans="1:6">
      <c r="A131" t="s">
        <v>1276</v>
      </c>
      <c r="B131" t="s">
        <v>1277</v>
      </c>
      <c r="C131" t="s">
        <v>1312</v>
      </c>
    </row>
    <row r="132" spans="1:6">
      <c r="A132" t="s">
        <v>1276</v>
      </c>
      <c r="B132" t="s">
        <v>1277</v>
      </c>
      <c r="C132" t="s">
        <v>1313</v>
      </c>
    </row>
    <row r="133" spans="1:6">
      <c r="A133" t="s">
        <v>1276</v>
      </c>
      <c r="B133" t="s">
        <v>1277</v>
      </c>
      <c r="C133" t="s">
        <v>1314</v>
      </c>
    </row>
    <row r="134" spans="1:6">
      <c r="A134" t="s">
        <v>1276</v>
      </c>
      <c r="B134" t="s">
        <v>1277</v>
      </c>
      <c r="C134" t="s">
        <v>1315</v>
      </c>
    </row>
    <row r="135" spans="1:6">
      <c r="A135" t="s">
        <v>1276</v>
      </c>
      <c r="B135" t="s">
        <v>1316</v>
      </c>
      <c r="C135" t="s">
        <v>1317</v>
      </c>
      <c r="F135" s="35"/>
    </row>
    <row r="136" spans="1:6">
      <c r="A136" t="s">
        <v>1276</v>
      </c>
      <c r="B136" t="s">
        <v>1316</v>
      </c>
      <c r="C136" t="s">
        <v>1318</v>
      </c>
      <c r="F136" s="35"/>
    </row>
    <row r="137" spans="1:6">
      <c r="A137" t="s">
        <v>1276</v>
      </c>
      <c r="B137" t="s">
        <v>1316</v>
      </c>
      <c r="C137" t="s">
        <v>1319</v>
      </c>
      <c r="F137" s="35"/>
    </row>
    <row r="138" spans="1:6">
      <c r="A138" t="s">
        <v>1276</v>
      </c>
      <c r="B138" t="s">
        <v>1316</v>
      </c>
      <c r="C138" t="s">
        <v>1320</v>
      </c>
      <c r="F138" s="35"/>
    </row>
    <row r="139" spans="1:6">
      <c r="A139" t="s">
        <v>1276</v>
      </c>
      <c r="B139" t="s">
        <v>1316</v>
      </c>
      <c r="C139" t="s">
        <v>1321</v>
      </c>
      <c r="F139" s="35"/>
    </row>
    <row r="140" spans="1:6">
      <c r="A140" t="s">
        <v>1276</v>
      </c>
      <c r="B140" t="s">
        <v>1316</v>
      </c>
      <c r="C140" t="s">
        <v>1322</v>
      </c>
      <c r="F140" s="35"/>
    </row>
    <row r="141" spans="1:6">
      <c r="A141" t="s">
        <v>1276</v>
      </c>
      <c r="B141" t="s">
        <v>1316</v>
      </c>
      <c r="C141" t="s">
        <v>1323</v>
      </c>
      <c r="F141" s="35"/>
    </row>
    <row r="142" spans="1:6">
      <c r="A142" t="s">
        <v>1276</v>
      </c>
      <c r="B142" t="s">
        <v>1316</v>
      </c>
      <c r="C142" t="s">
        <v>1324</v>
      </c>
      <c r="F142" s="35"/>
    </row>
    <row r="143" spans="1:6">
      <c r="A143" t="s">
        <v>1276</v>
      </c>
      <c r="B143" t="s">
        <v>1316</v>
      </c>
      <c r="C143" t="s">
        <v>1325</v>
      </c>
      <c r="F143" s="35"/>
    </row>
    <row r="144" spans="1:6">
      <c r="A144" s="55" t="s">
        <v>1276</v>
      </c>
      <c r="B144" s="55" t="s">
        <v>1316</v>
      </c>
      <c r="C144" s="55" t="s">
        <v>1326</v>
      </c>
      <c r="D144" s="55"/>
      <c r="F144" s="35"/>
    </row>
    <row r="145" spans="1:4">
      <c r="A145" s="55" t="s">
        <v>1276</v>
      </c>
      <c r="B145" s="55" t="s">
        <v>1316</v>
      </c>
      <c r="C145" s="55" t="s">
        <v>1327</v>
      </c>
      <c r="D145" s="55"/>
    </row>
    <row r="146" spans="1:4">
      <c r="A146" s="55" t="s">
        <v>1276</v>
      </c>
      <c r="B146" s="55" t="s">
        <v>1316</v>
      </c>
      <c r="C146" s="55" t="s">
        <v>1328</v>
      </c>
      <c r="D146" s="55"/>
    </row>
    <row r="147" spans="1:4">
      <c r="A147" s="55" t="s">
        <v>1276</v>
      </c>
      <c r="B147" s="55" t="s">
        <v>1316</v>
      </c>
      <c r="C147" s="55" t="s">
        <v>1329</v>
      </c>
      <c r="D147" s="55"/>
    </row>
    <row r="148" spans="1:4">
      <c r="A148" s="55" t="s">
        <v>1276</v>
      </c>
      <c r="B148" s="55" t="s">
        <v>1316</v>
      </c>
      <c r="C148" s="55" t="s">
        <v>1330</v>
      </c>
      <c r="D148" s="55"/>
    </row>
    <row r="149" spans="1:4">
      <c r="A149" s="55" t="s">
        <v>1276</v>
      </c>
      <c r="B149" s="55" t="s">
        <v>1316</v>
      </c>
      <c r="C149" s="55" t="s">
        <v>1331</v>
      </c>
      <c r="D149" s="55"/>
    </row>
    <row r="150" spans="1:4">
      <c r="A150" s="55" t="s">
        <v>1276</v>
      </c>
      <c r="B150" s="55" t="s">
        <v>1316</v>
      </c>
      <c r="C150" s="55" t="s">
        <v>1332</v>
      </c>
      <c r="D150" s="55"/>
    </row>
    <row r="151" spans="1:4">
      <c r="A151" s="55" t="s">
        <v>1276</v>
      </c>
      <c r="B151" s="55" t="s">
        <v>1316</v>
      </c>
      <c r="C151" s="55" t="s">
        <v>1333</v>
      </c>
      <c r="D151" s="55"/>
    </row>
    <row r="152" spans="1:4">
      <c r="A152" s="55" t="s">
        <v>1276</v>
      </c>
      <c r="B152" s="55" t="s">
        <v>1316</v>
      </c>
      <c r="C152" s="55" t="s">
        <v>1334</v>
      </c>
      <c r="D152" s="55"/>
    </row>
    <row r="153" spans="1:4">
      <c r="A153" s="55" t="s">
        <v>1276</v>
      </c>
      <c r="B153" s="55" t="s">
        <v>1316</v>
      </c>
      <c r="C153" s="55" t="s">
        <v>1335</v>
      </c>
      <c r="D153" s="55"/>
    </row>
    <row r="154" spans="1:4">
      <c r="A154" s="55" t="s">
        <v>1276</v>
      </c>
      <c r="B154" s="55" t="s">
        <v>1316</v>
      </c>
      <c r="C154" s="55" t="s">
        <v>1336</v>
      </c>
      <c r="D154" s="55"/>
    </row>
    <row r="155" spans="1:4">
      <c r="A155" s="55" t="s">
        <v>1276</v>
      </c>
      <c r="B155" s="55" t="s">
        <v>1316</v>
      </c>
      <c r="C155" s="55" t="s">
        <v>1337</v>
      </c>
      <c r="D155" s="55"/>
    </row>
    <row r="156" spans="1:4">
      <c r="A156" t="s">
        <v>1276</v>
      </c>
      <c r="B156" t="s">
        <v>1316</v>
      </c>
      <c r="C156" t="s">
        <v>1338</v>
      </c>
    </row>
    <row r="157" spans="1:4">
      <c r="A157" s="55" t="s">
        <v>1276</v>
      </c>
      <c r="B157" s="55" t="s">
        <v>1339</v>
      </c>
      <c r="C157" s="55" t="s">
        <v>1340</v>
      </c>
      <c r="D157" s="55"/>
    </row>
    <row r="158" spans="1:4">
      <c r="A158" s="55" t="s">
        <v>1276</v>
      </c>
      <c r="B158" s="55" t="s">
        <v>1339</v>
      </c>
      <c r="C158" s="55" t="s">
        <v>1341</v>
      </c>
      <c r="D158" s="55"/>
    </row>
    <row r="159" spans="1:4">
      <c r="A159" s="55" t="s">
        <v>1276</v>
      </c>
      <c r="B159" s="55" t="s">
        <v>1339</v>
      </c>
      <c r="C159" s="55" t="s">
        <v>1342</v>
      </c>
      <c r="D159" s="55"/>
    </row>
    <row r="160" spans="1:4">
      <c r="A160" s="55" t="s">
        <v>1276</v>
      </c>
      <c r="B160" s="55" t="s">
        <v>1339</v>
      </c>
      <c r="C160" s="55" t="s">
        <v>1343</v>
      </c>
      <c r="D160" s="55"/>
    </row>
    <row r="161" spans="1:4">
      <c r="A161" s="55" t="s">
        <v>1276</v>
      </c>
      <c r="B161" s="55" t="s">
        <v>1339</v>
      </c>
      <c r="C161" s="55" t="s">
        <v>1344</v>
      </c>
      <c r="D161" s="55"/>
    </row>
    <row r="162" spans="1:4">
      <c r="A162" s="55" t="s">
        <v>1276</v>
      </c>
      <c r="B162" s="55" t="s">
        <v>1339</v>
      </c>
      <c r="C162" s="55" t="s">
        <v>1345</v>
      </c>
      <c r="D162" s="55"/>
    </row>
    <row r="163" spans="1:4">
      <c r="A163" s="55" t="s">
        <v>1276</v>
      </c>
      <c r="B163" s="55" t="s">
        <v>1339</v>
      </c>
      <c r="C163" s="55" t="s">
        <v>1346</v>
      </c>
      <c r="D163" s="55"/>
    </row>
    <row r="164" spans="1:4">
      <c r="A164" s="55" t="s">
        <v>1276</v>
      </c>
      <c r="B164" s="55" t="s">
        <v>1339</v>
      </c>
      <c r="C164" s="55" t="s">
        <v>1347</v>
      </c>
      <c r="D164" s="55"/>
    </row>
    <row r="165" spans="1:4">
      <c r="A165" s="55" t="s">
        <v>1276</v>
      </c>
      <c r="B165" s="55" t="s">
        <v>1339</v>
      </c>
      <c r="C165" s="55" t="s">
        <v>1348</v>
      </c>
      <c r="D165" s="55"/>
    </row>
    <row r="166" spans="1:4">
      <c r="A166" s="55" t="s">
        <v>1276</v>
      </c>
      <c r="B166" s="55" t="s">
        <v>1339</v>
      </c>
      <c r="C166" s="55" t="s">
        <v>1349</v>
      </c>
      <c r="D166" s="55"/>
    </row>
    <row r="167" spans="1:4">
      <c r="A167" s="55" t="s">
        <v>1276</v>
      </c>
      <c r="B167" s="55" t="s">
        <v>1339</v>
      </c>
      <c r="C167" s="55" t="s">
        <v>1350</v>
      </c>
      <c r="D167" s="55"/>
    </row>
    <row r="168" spans="1:4">
      <c r="A168" s="55" t="s">
        <v>1276</v>
      </c>
      <c r="B168" s="55" t="s">
        <v>1339</v>
      </c>
      <c r="C168" s="55" t="s">
        <v>1351</v>
      </c>
      <c r="D168" s="55"/>
    </row>
    <row r="169" spans="1:4">
      <c r="A169" s="55" t="s">
        <v>1276</v>
      </c>
      <c r="B169" s="55" t="s">
        <v>1339</v>
      </c>
      <c r="C169" s="55" t="s">
        <v>1352</v>
      </c>
      <c r="D169" s="55"/>
    </row>
    <row r="170" spans="1:4">
      <c r="A170" s="55" t="s">
        <v>1276</v>
      </c>
      <c r="B170" s="55" t="s">
        <v>1339</v>
      </c>
      <c r="C170" s="55" t="s">
        <v>1353</v>
      </c>
      <c r="D170" s="55"/>
    </row>
    <row r="171" spans="1:4">
      <c r="A171" s="55" t="s">
        <v>1276</v>
      </c>
      <c r="B171" s="55" t="s">
        <v>1339</v>
      </c>
      <c r="C171" s="55" t="s">
        <v>1354</v>
      </c>
      <c r="D171" s="55"/>
    </row>
    <row r="172" spans="1:4">
      <c r="A172" s="55" t="s">
        <v>1276</v>
      </c>
      <c r="B172" s="55" t="s">
        <v>1339</v>
      </c>
      <c r="C172" s="55" t="s">
        <v>1355</v>
      </c>
      <c r="D172" s="55"/>
    </row>
    <row r="173" spans="1:4">
      <c r="A173" s="55" t="s">
        <v>1276</v>
      </c>
      <c r="B173" s="55" t="s">
        <v>1339</v>
      </c>
      <c r="C173" s="55" t="s">
        <v>1356</v>
      </c>
      <c r="D173" s="55"/>
    </row>
    <row r="174" spans="1:4">
      <c r="A174" s="55" t="s">
        <v>1276</v>
      </c>
      <c r="B174" s="55" t="s">
        <v>1339</v>
      </c>
      <c r="C174" s="55" t="s">
        <v>1357</v>
      </c>
      <c r="D174" s="55"/>
    </row>
    <row r="175" spans="1:4">
      <c r="A175" s="55" t="s">
        <v>1276</v>
      </c>
      <c r="B175" s="55" t="s">
        <v>1339</v>
      </c>
      <c r="C175" s="55" t="s">
        <v>1358</v>
      </c>
      <c r="D175" s="55"/>
    </row>
    <row r="176" spans="1:4">
      <c r="A176" s="55" t="s">
        <v>1276</v>
      </c>
      <c r="B176" s="55" t="s">
        <v>1339</v>
      </c>
      <c r="C176" s="55" t="s">
        <v>1359</v>
      </c>
      <c r="D176" s="55"/>
    </row>
    <row r="177" spans="1:4">
      <c r="A177" s="55" t="s">
        <v>1276</v>
      </c>
      <c r="B177" s="55" t="s">
        <v>1339</v>
      </c>
      <c r="C177" s="55" t="s">
        <v>1360</v>
      </c>
      <c r="D177" s="55"/>
    </row>
    <row r="178" spans="1:4">
      <c r="A178" s="55" t="s">
        <v>1276</v>
      </c>
      <c r="B178" s="55" t="s">
        <v>1339</v>
      </c>
      <c r="C178" s="55" t="s">
        <v>1361</v>
      </c>
      <c r="D178" s="55"/>
    </row>
    <row r="179" spans="1:4">
      <c r="A179" s="55" t="s">
        <v>1276</v>
      </c>
      <c r="B179" s="55" t="s">
        <v>1339</v>
      </c>
      <c r="C179" s="55" t="s">
        <v>1362</v>
      </c>
      <c r="D179" s="55"/>
    </row>
    <row r="180" spans="1:4">
      <c r="A180" s="55" t="s">
        <v>1276</v>
      </c>
      <c r="B180" s="55" t="s">
        <v>1339</v>
      </c>
      <c r="C180" s="55" t="s">
        <v>1363</v>
      </c>
      <c r="D180" s="55"/>
    </row>
    <row r="181" spans="1:4">
      <c r="A181" t="s">
        <v>1276</v>
      </c>
      <c r="B181" t="s">
        <v>1364</v>
      </c>
      <c r="C181" t="s">
        <v>1365</v>
      </c>
    </row>
    <row r="182" spans="1:4">
      <c r="A182" t="s">
        <v>1276</v>
      </c>
      <c r="B182" t="s">
        <v>1364</v>
      </c>
      <c r="C182" t="s">
        <v>1366</v>
      </c>
    </row>
    <row r="183" spans="1:4">
      <c r="A183" t="s">
        <v>1276</v>
      </c>
      <c r="B183" t="s">
        <v>1364</v>
      </c>
      <c r="C183" t="s">
        <v>1367</v>
      </c>
    </row>
    <row r="184" spans="1:4">
      <c r="A184" t="s">
        <v>1276</v>
      </c>
      <c r="B184" t="s">
        <v>1364</v>
      </c>
      <c r="C184" t="s">
        <v>1368</v>
      </c>
    </row>
    <row r="185" spans="1:4">
      <c r="A185" t="s">
        <v>1276</v>
      </c>
      <c r="B185" t="s">
        <v>1364</v>
      </c>
      <c r="C185" t="s">
        <v>1369</v>
      </c>
    </row>
    <row r="186" spans="1:4">
      <c r="A186" t="s">
        <v>1276</v>
      </c>
      <c r="B186" t="s">
        <v>1364</v>
      </c>
      <c r="C186" t="s">
        <v>1370</v>
      </c>
    </row>
    <row r="187" spans="1:4">
      <c r="A187" t="s">
        <v>1276</v>
      </c>
      <c r="B187" t="s">
        <v>1364</v>
      </c>
      <c r="C187" t="s">
        <v>1283</v>
      </c>
    </row>
    <row r="188" spans="1:4">
      <c r="A188" t="s">
        <v>1276</v>
      </c>
      <c r="B188" t="s">
        <v>1364</v>
      </c>
      <c r="C188" t="s">
        <v>1371</v>
      </c>
    </row>
    <row r="189" spans="1:4">
      <c r="A189" t="s">
        <v>1276</v>
      </c>
      <c r="B189" t="s">
        <v>1364</v>
      </c>
      <c r="C189" t="s">
        <v>1372</v>
      </c>
    </row>
    <row r="190" spans="1:4">
      <c r="A190" t="s">
        <v>1276</v>
      </c>
      <c r="B190" t="s">
        <v>1364</v>
      </c>
      <c r="C190" t="s">
        <v>1373</v>
      </c>
    </row>
    <row r="191" spans="1:4">
      <c r="A191" t="s">
        <v>1276</v>
      </c>
      <c r="B191" t="s">
        <v>1364</v>
      </c>
      <c r="C191" t="s">
        <v>1374</v>
      </c>
    </row>
    <row r="192" spans="1:4">
      <c r="A192" t="s">
        <v>1276</v>
      </c>
      <c r="B192" t="s">
        <v>1364</v>
      </c>
      <c r="C192" t="s">
        <v>1375</v>
      </c>
    </row>
    <row r="193" spans="1:3">
      <c r="A193" t="s">
        <v>1276</v>
      </c>
      <c r="B193" t="s">
        <v>1364</v>
      </c>
      <c r="C193" t="s">
        <v>1376</v>
      </c>
    </row>
    <row r="194" spans="1:3">
      <c r="A194" t="s">
        <v>1276</v>
      </c>
      <c r="B194" t="s">
        <v>1364</v>
      </c>
      <c r="C194" t="s">
        <v>1377</v>
      </c>
    </row>
    <row r="195" spans="1:3">
      <c r="A195" t="s">
        <v>1276</v>
      </c>
      <c r="B195" t="s">
        <v>1364</v>
      </c>
      <c r="C195" t="s">
        <v>1378</v>
      </c>
    </row>
    <row r="196" spans="1:3">
      <c r="A196" t="s">
        <v>1276</v>
      </c>
      <c r="B196" t="s">
        <v>1364</v>
      </c>
      <c r="C196" t="s">
        <v>1379</v>
      </c>
    </row>
    <row r="197" spans="1:3">
      <c r="A197" t="s">
        <v>1276</v>
      </c>
      <c r="B197" t="s">
        <v>1364</v>
      </c>
      <c r="C197" t="s">
        <v>1380</v>
      </c>
    </row>
    <row r="198" spans="1:3">
      <c r="A198" t="s">
        <v>1276</v>
      </c>
      <c r="B198" t="s">
        <v>1364</v>
      </c>
      <c r="C198" t="s">
        <v>1381</v>
      </c>
    </row>
    <row r="199" spans="1:3">
      <c r="A199" t="s">
        <v>1276</v>
      </c>
      <c r="B199" t="s">
        <v>1364</v>
      </c>
      <c r="C199" t="s">
        <v>1382</v>
      </c>
    </row>
    <row r="200" spans="1:3">
      <c r="A200" t="s">
        <v>1276</v>
      </c>
      <c r="B200" t="s">
        <v>1364</v>
      </c>
      <c r="C200" t="s">
        <v>1383</v>
      </c>
    </row>
    <row r="201" spans="1:3">
      <c r="A201" t="s">
        <v>1276</v>
      </c>
      <c r="B201" t="s">
        <v>1364</v>
      </c>
      <c r="C201" t="s">
        <v>1384</v>
      </c>
    </row>
    <row r="202" spans="1:3">
      <c r="A202" t="s">
        <v>1276</v>
      </c>
      <c r="B202" t="s">
        <v>1364</v>
      </c>
      <c r="C202" t="s">
        <v>1385</v>
      </c>
    </row>
    <row r="203" spans="1:3">
      <c r="A203" t="s">
        <v>1276</v>
      </c>
      <c r="B203" t="s">
        <v>1364</v>
      </c>
      <c r="C203" t="s">
        <v>1386</v>
      </c>
    </row>
    <row r="204" spans="1:3">
      <c r="A204" t="s">
        <v>1276</v>
      </c>
      <c r="B204" t="s">
        <v>1364</v>
      </c>
      <c r="C204" t="s">
        <v>1387</v>
      </c>
    </row>
    <row r="205" spans="1:3">
      <c r="A205" t="s">
        <v>1276</v>
      </c>
      <c r="B205" t="s">
        <v>1364</v>
      </c>
      <c r="C205" t="s">
        <v>1388</v>
      </c>
    </row>
    <row r="206" spans="1:3">
      <c r="A206" t="s">
        <v>1276</v>
      </c>
      <c r="B206" t="s">
        <v>1364</v>
      </c>
      <c r="C206" t="s">
        <v>1389</v>
      </c>
    </row>
    <row r="207" spans="1:3">
      <c r="A207" t="s">
        <v>1276</v>
      </c>
      <c r="B207" t="s">
        <v>1364</v>
      </c>
      <c r="C207" t="s">
        <v>1390</v>
      </c>
    </row>
    <row r="208" spans="1:3">
      <c r="A208" t="s">
        <v>1276</v>
      </c>
      <c r="B208" t="s">
        <v>1364</v>
      </c>
      <c r="C208" t="s">
        <v>1391</v>
      </c>
    </row>
    <row r="209" spans="1:3">
      <c r="A209" t="s">
        <v>1276</v>
      </c>
      <c r="B209" t="s">
        <v>1364</v>
      </c>
      <c r="C209" t="s">
        <v>1392</v>
      </c>
    </row>
    <row r="210" spans="1:3">
      <c r="A210" t="s">
        <v>1276</v>
      </c>
      <c r="B210" t="s">
        <v>1364</v>
      </c>
      <c r="C210" t="s">
        <v>1393</v>
      </c>
    </row>
    <row r="211" spans="1:3">
      <c r="A211" t="s">
        <v>1276</v>
      </c>
      <c r="B211" t="s">
        <v>1364</v>
      </c>
      <c r="C211" t="s">
        <v>1394</v>
      </c>
    </row>
    <row r="212" spans="1:3">
      <c r="A212" t="s">
        <v>1276</v>
      </c>
      <c r="B212" t="s">
        <v>1364</v>
      </c>
      <c r="C212" t="s">
        <v>1395</v>
      </c>
    </row>
    <row r="213" spans="1:3">
      <c r="A213" t="s">
        <v>1276</v>
      </c>
      <c r="B213" t="s">
        <v>1364</v>
      </c>
      <c r="C213" t="s">
        <v>1396</v>
      </c>
    </row>
    <row r="214" spans="1:3">
      <c r="A214" t="s">
        <v>1276</v>
      </c>
      <c r="B214" t="s">
        <v>1364</v>
      </c>
      <c r="C214" t="s">
        <v>1397</v>
      </c>
    </row>
    <row r="215" spans="1:3">
      <c r="A215" t="s">
        <v>1276</v>
      </c>
      <c r="B215" t="s">
        <v>1364</v>
      </c>
      <c r="C215" t="s">
        <v>1398</v>
      </c>
    </row>
    <row r="216" spans="1:3">
      <c r="A216" t="s">
        <v>1276</v>
      </c>
      <c r="B216" t="s">
        <v>1364</v>
      </c>
      <c r="C216" t="s">
        <v>1242</v>
      </c>
    </row>
    <row r="217" spans="1:3">
      <c r="A217" t="s">
        <v>1276</v>
      </c>
      <c r="B217" t="s">
        <v>1364</v>
      </c>
      <c r="C217" t="s">
        <v>1399</v>
      </c>
    </row>
    <row r="218" spans="1:3">
      <c r="A218" t="s">
        <v>1276</v>
      </c>
      <c r="B218" t="s">
        <v>1364</v>
      </c>
      <c r="C218" t="s">
        <v>1400</v>
      </c>
    </row>
    <row r="219" spans="1:3">
      <c r="A219" t="s">
        <v>1276</v>
      </c>
      <c r="B219" t="s">
        <v>1364</v>
      </c>
      <c r="C219" t="s">
        <v>1401</v>
      </c>
    </row>
    <row r="220" spans="1:3">
      <c r="A220" t="s">
        <v>1276</v>
      </c>
      <c r="B220" t="s">
        <v>1364</v>
      </c>
      <c r="C220" t="s">
        <v>1402</v>
      </c>
    </row>
    <row r="221" spans="1:3">
      <c r="A221" t="s">
        <v>1276</v>
      </c>
      <c r="B221" t="s">
        <v>1364</v>
      </c>
      <c r="C221" t="s">
        <v>1403</v>
      </c>
    </row>
    <row r="222" spans="1:3">
      <c r="A222" t="s">
        <v>1276</v>
      </c>
      <c r="B222" t="s">
        <v>1364</v>
      </c>
      <c r="C222" t="s">
        <v>1404</v>
      </c>
    </row>
    <row r="223" spans="1:3">
      <c r="A223" t="s">
        <v>1276</v>
      </c>
      <c r="B223" t="s">
        <v>1364</v>
      </c>
      <c r="C223" t="s">
        <v>1405</v>
      </c>
    </row>
    <row r="224" spans="1:3">
      <c r="A224" t="s">
        <v>1276</v>
      </c>
      <c r="B224" t="s">
        <v>1364</v>
      </c>
      <c r="C224" t="s">
        <v>1406</v>
      </c>
    </row>
    <row r="225" spans="1:3">
      <c r="A225" t="s">
        <v>1276</v>
      </c>
      <c r="B225" t="s">
        <v>1364</v>
      </c>
      <c r="C225" t="s">
        <v>1407</v>
      </c>
    </row>
    <row r="226" spans="1:3">
      <c r="A226" t="s">
        <v>1276</v>
      </c>
      <c r="B226" t="s">
        <v>1364</v>
      </c>
      <c r="C226" t="s">
        <v>1408</v>
      </c>
    </row>
    <row r="227" spans="1:3">
      <c r="A227" t="s">
        <v>1276</v>
      </c>
      <c r="B227" t="s">
        <v>1364</v>
      </c>
      <c r="C227" t="s">
        <v>1409</v>
      </c>
    </row>
    <row r="228" spans="1:3">
      <c r="A228" t="s">
        <v>1276</v>
      </c>
      <c r="B228" t="s">
        <v>1364</v>
      </c>
      <c r="C228" t="s">
        <v>1410</v>
      </c>
    </row>
    <row r="229" spans="1:3">
      <c r="A229" t="s">
        <v>1276</v>
      </c>
      <c r="B229" t="s">
        <v>1364</v>
      </c>
      <c r="C229" t="s">
        <v>1411</v>
      </c>
    </row>
    <row r="230" spans="1:3">
      <c r="A230" t="s">
        <v>1276</v>
      </c>
      <c r="B230" t="s">
        <v>1364</v>
      </c>
      <c r="C230" t="s">
        <v>1412</v>
      </c>
    </row>
    <row r="231" spans="1:3">
      <c r="A231" t="s">
        <v>1276</v>
      </c>
      <c r="B231" t="s">
        <v>1364</v>
      </c>
      <c r="C231" t="s">
        <v>1413</v>
      </c>
    </row>
    <row r="232" spans="1:3">
      <c r="A232" t="s">
        <v>1276</v>
      </c>
      <c r="B232" t="s">
        <v>1364</v>
      </c>
      <c r="C232" t="s">
        <v>1414</v>
      </c>
    </row>
    <row r="233" spans="1:3">
      <c r="A233" t="s">
        <v>1276</v>
      </c>
      <c r="B233" t="s">
        <v>1364</v>
      </c>
      <c r="C233" t="s">
        <v>1415</v>
      </c>
    </row>
    <row r="234" spans="1:3">
      <c r="A234" t="s">
        <v>1276</v>
      </c>
      <c r="B234" t="s">
        <v>1364</v>
      </c>
      <c r="C234" t="s">
        <v>1416</v>
      </c>
    </row>
    <row r="235" spans="1:3">
      <c r="A235" t="s">
        <v>1276</v>
      </c>
      <c r="B235" t="s">
        <v>1364</v>
      </c>
      <c r="C235" t="s">
        <v>1417</v>
      </c>
    </row>
    <row r="236" spans="1:3">
      <c r="A236" t="s">
        <v>1276</v>
      </c>
      <c r="B236" t="s">
        <v>1364</v>
      </c>
      <c r="C236" t="s">
        <v>1418</v>
      </c>
    </row>
    <row r="237" spans="1:3">
      <c r="A237" t="s">
        <v>1276</v>
      </c>
      <c r="B237" t="s">
        <v>1364</v>
      </c>
      <c r="C237" t="s">
        <v>1419</v>
      </c>
    </row>
    <row r="238" spans="1:3">
      <c r="A238" t="s">
        <v>1276</v>
      </c>
      <c r="B238" t="s">
        <v>1364</v>
      </c>
      <c r="C238" t="s">
        <v>1420</v>
      </c>
    </row>
    <row r="239" spans="1:3">
      <c r="A239" t="s">
        <v>1276</v>
      </c>
      <c r="B239" t="s">
        <v>1364</v>
      </c>
      <c r="C239" t="s">
        <v>1421</v>
      </c>
    </row>
    <row r="240" spans="1:3">
      <c r="A240" t="s">
        <v>1276</v>
      </c>
      <c r="B240" t="s">
        <v>1364</v>
      </c>
      <c r="C240" t="s">
        <v>1422</v>
      </c>
    </row>
    <row r="241" spans="1:3">
      <c r="A241" t="s">
        <v>1276</v>
      </c>
      <c r="B241" t="s">
        <v>1364</v>
      </c>
      <c r="C241" t="s">
        <v>1423</v>
      </c>
    </row>
    <row r="242" spans="1:3">
      <c r="A242" t="s">
        <v>1276</v>
      </c>
      <c r="B242" t="s">
        <v>1364</v>
      </c>
      <c r="C242" t="s">
        <v>1424</v>
      </c>
    </row>
    <row r="243" spans="1:3">
      <c r="A243" t="s">
        <v>1276</v>
      </c>
      <c r="B243" t="s">
        <v>1364</v>
      </c>
      <c r="C243" t="s">
        <v>1425</v>
      </c>
    </row>
    <row r="244" spans="1:3">
      <c r="A244" t="s">
        <v>1276</v>
      </c>
      <c r="B244" t="s">
        <v>1364</v>
      </c>
      <c r="C244" t="s">
        <v>1426</v>
      </c>
    </row>
    <row r="245" spans="1:3">
      <c r="A245" t="s">
        <v>1276</v>
      </c>
      <c r="B245" t="s">
        <v>1364</v>
      </c>
      <c r="C245" t="s">
        <v>1427</v>
      </c>
    </row>
    <row r="246" spans="1:3">
      <c r="A246" t="s">
        <v>1276</v>
      </c>
      <c r="B246" t="s">
        <v>1364</v>
      </c>
      <c r="C246" t="s">
        <v>1428</v>
      </c>
    </row>
    <row r="247" spans="1:3">
      <c r="A247" t="s">
        <v>1276</v>
      </c>
      <c r="B247" t="s">
        <v>1364</v>
      </c>
      <c r="C247" t="s">
        <v>1429</v>
      </c>
    </row>
    <row r="248" spans="1:3">
      <c r="A248" t="s">
        <v>1276</v>
      </c>
      <c r="B248" t="s">
        <v>1364</v>
      </c>
      <c r="C248" t="s">
        <v>1430</v>
      </c>
    </row>
    <row r="249" spans="1:3">
      <c r="A249" t="s">
        <v>1276</v>
      </c>
      <c r="B249" t="s">
        <v>1364</v>
      </c>
      <c r="C249" t="s">
        <v>1431</v>
      </c>
    </row>
    <row r="250" spans="1:3">
      <c r="A250" t="s">
        <v>1276</v>
      </c>
      <c r="B250" t="s">
        <v>1364</v>
      </c>
      <c r="C250" t="s">
        <v>1432</v>
      </c>
    </row>
    <row r="251" spans="1:3">
      <c r="A251" t="s">
        <v>1276</v>
      </c>
      <c r="B251" t="s">
        <v>1364</v>
      </c>
      <c r="C251" s="35" t="s">
        <v>293</v>
      </c>
    </row>
    <row r="252" spans="1:3">
      <c r="A252" t="s">
        <v>1276</v>
      </c>
      <c r="B252" t="s">
        <v>1364</v>
      </c>
      <c r="C252" t="s">
        <v>619</v>
      </c>
    </row>
    <row r="253" spans="1:3">
      <c r="A253" t="s">
        <v>1276</v>
      </c>
      <c r="B253" t="s">
        <v>1364</v>
      </c>
      <c r="C253" t="s">
        <v>620</v>
      </c>
    </row>
    <row r="254" spans="1:3">
      <c r="A254" t="s">
        <v>1276</v>
      </c>
      <c r="B254" t="s">
        <v>1364</v>
      </c>
      <c r="C254" t="s">
        <v>621</v>
      </c>
    </row>
    <row r="255" spans="1:3">
      <c r="A255" t="s">
        <v>1276</v>
      </c>
      <c r="B255" t="s">
        <v>1364</v>
      </c>
      <c r="C255" t="s">
        <v>622</v>
      </c>
    </row>
    <row r="256" spans="1:3">
      <c r="A256" t="s">
        <v>1276</v>
      </c>
      <c r="B256" t="s">
        <v>1364</v>
      </c>
      <c r="C256" t="s">
        <v>623</v>
      </c>
    </row>
    <row r="257" spans="1:6">
      <c r="A257" t="s">
        <v>1276</v>
      </c>
      <c r="B257" t="s">
        <v>1364</v>
      </c>
      <c r="C257" t="s">
        <v>625</v>
      </c>
    </row>
    <row r="258" spans="1:6">
      <c r="A258" t="s">
        <v>1276</v>
      </c>
      <c r="B258" t="s">
        <v>1364</v>
      </c>
      <c r="C258" t="s">
        <v>627</v>
      </c>
    </row>
    <row r="259" spans="1:6">
      <c r="A259" t="s">
        <v>1276</v>
      </c>
      <c r="B259" t="s">
        <v>1364</v>
      </c>
      <c r="C259" t="s">
        <v>628</v>
      </c>
    </row>
    <row r="260" spans="1:6">
      <c r="A260" t="s">
        <v>1276</v>
      </c>
      <c r="B260" t="s">
        <v>1364</v>
      </c>
      <c r="C260" t="s">
        <v>1433</v>
      </c>
    </row>
    <row r="261" spans="1:6">
      <c r="A261" t="s">
        <v>1276</v>
      </c>
      <c r="B261" t="s">
        <v>1364</v>
      </c>
      <c r="C261" t="s">
        <v>1434</v>
      </c>
    </row>
    <row r="262" spans="1:6">
      <c r="A262" t="s">
        <v>1276</v>
      </c>
      <c r="B262" t="s">
        <v>1364</v>
      </c>
      <c r="C262" t="s">
        <v>1435</v>
      </c>
    </row>
    <row r="263" spans="1:6">
      <c r="A263" t="s">
        <v>1276</v>
      </c>
      <c r="B263" t="s">
        <v>1364</v>
      </c>
      <c r="C263" t="s">
        <v>1436</v>
      </c>
    </row>
    <row r="264" spans="1:6">
      <c r="A264" t="s">
        <v>1276</v>
      </c>
      <c r="B264" t="s">
        <v>1364</v>
      </c>
      <c r="C264" t="s">
        <v>1437</v>
      </c>
    </row>
    <row r="265" spans="1:6">
      <c r="A265" t="s">
        <v>1276</v>
      </c>
      <c r="B265" t="s">
        <v>1364</v>
      </c>
      <c r="C265" t="s">
        <v>613</v>
      </c>
    </row>
    <row r="266" spans="1:6">
      <c r="A266" t="s">
        <v>1276</v>
      </c>
      <c r="B266" t="s">
        <v>1364</v>
      </c>
      <c r="C266" t="s">
        <v>614</v>
      </c>
    </row>
    <row r="267" spans="1:6">
      <c r="A267" t="s">
        <v>1276</v>
      </c>
      <c r="B267" t="s">
        <v>1364</v>
      </c>
      <c r="C267" t="s">
        <v>1438</v>
      </c>
    </row>
    <row r="268" spans="1:6">
      <c r="A268" t="s">
        <v>1276</v>
      </c>
      <c r="B268" t="s">
        <v>1364</v>
      </c>
      <c r="C268" t="s">
        <v>1439</v>
      </c>
    </row>
    <row r="269" spans="1:6">
      <c r="A269" t="s">
        <v>1276</v>
      </c>
      <c r="B269" t="s">
        <v>1364</v>
      </c>
      <c r="C269" t="s">
        <v>1440</v>
      </c>
    </row>
    <row r="270" spans="1:6">
      <c r="A270" t="s">
        <v>1276</v>
      </c>
      <c r="B270" t="s">
        <v>1364</v>
      </c>
      <c r="C270" t="s">
        <v>1441</v>
      </c>
    </row>
    <row r="271" spans="1:6">
      <c r="A271" t="s">
        <v>1442</v>
      </c>
      <c r="B271" t="s">
        <v>1443</v>
      </c>
      <c r="C271" t="s">
        <v>1444</v>
      </c>
      <c r="F271" s="59"/>
    </row>
    <row r="272" spans="1:6">
      <c r="A272" t="s">
        <v>1442</v>
      </c>
      <c r="B272" t="s">
        <v>1443</v>
      </c>
      <c r="C272" t="s">
        <v>1445</v>
      </c>
    </row>
    <row r="273" spans="1:3">
      <c r="A273" t="s">
        <v>1442</v>
      </c>
      <c r="B273" t="s">
        <v>1443</v>
      </c>
      <c r="C273" t="s">
        <v>1446</v>
      </c>
    </row>
    <row r="274" spans="1:3">
      <c r="A274" t="s">
        <v>1442</v>
      </c>
      <c r="B274" t="s">
        <v>1443</v>
      </c>
      <c r="C274" t="s">
        <v>1447</v>
      </c>
    </row>
    <row r="275" spans="1:3">
      <c r="A275" t="s">
        <v>1442</v>
      </c>
      <c r="B275" t="s">
        <v>1443</v>
      </c>
      <c r="C275" t="s">
        <v>1448</v>
      </c>
    </row>
    <row r="276" spans="1:3">
      <c r="A276" t="s">
        <v>1442</v>
      </c>
      <c r="B276" t="s">
        <v>1443</v>
      </c>
      <c r="C276" s="13" t="s">
        <v>1449</v>
      </c>
    </row>
    <row r="277" spans="1:3">
      <c r="A277" t="s">
        <v>1442</v>
      </c>
      <c r="B277" t="s">
        <v>1443</v>
      </c>
      <c r="C277" s="13" t="s">
        <v>1450</v>
      </c>
    </row>
    <row r="278" spans="1:3">
      <c r="A278" t="s">
        <v>1442</v>
      </c>
      <c r="B278" t="s">
        <v>1443</v>
      </c>
      <c r="C278" s="13" t="s">
        <v>1451</v>
      </c>
    </row>
    <row r="279" spans="1:3">
      <c r="A279" t="s">
        <v>1442</v>
      </c>
      <c r="B279" t="s">
        <v>1443</v>
      </c>
      <c r="C279" t="s">
        <v>1452</v>
      </c>
    </row>
    <row r="280" spans="1:3">
      <c r="A280" t="s">
        <v>1442</v>
      </c>
      <c r="B280" t="s">
        <v>1443</v>
      </c>
      <c r="C280" t="s">
        <v>1453</v>
      </c>
    </row>
    <row r="281" spans="1:3">
      <c r="A281" t="s">
        <v>1442</v>
      </c>
      <c r="B281" t="s">
        <v>1443</v>
      </c>
      <c r="C281" t="s">
        <v>1454</v>
      </c>
    </row>
    <row r="282" spans="1:3">
      <c r="A282" t="s">
        <v>1442</v>
      </c>
      <c r="B282" t="s">
        <v>1443</v>
      </c>
      <c r="C282" t="s">
        <v>1455</v>
      </c>
    </row>
    <row r="283" spans="1:3">
      <c r="A283" t="s">
        <v>1442</v>
      </c>
      <c r="B283" t="s">
        <v>1443</v>
      </c>
      <c r="C283" t="s">
        <v>1456</v>
      </c>
    </row>
    <row r="284" spans="1:3">
      <c r="A284" t="s">
        <v>1442</v>
      </c>
      <c r="B284" t="s">
        <v>1443</v>
      </c>
      <c r="C284" t="s">
        <v>1457</v>
      </c>
    </row>
    <row r="285" spans="1:3">
      <c r="A285" t="s">
        <v>1442</v>
      </c>
      <c r="B285" t="s">
        <v>1443</v>
      </c>
      <c r="C285" t="s">
        <v>1458</v>
      </c>
    </row>
    <row r="286" spans="1:3">
      <c r="A286" t="s">
        <v>1442</v>
      </c>
      <c r="B286" t="s">
        <v>1443</v>
      </c>
      <c r="C286" t="s">
        <v>1459</v>
      </c>
    </row>
    <row r="287" spans="1:3">
      <c r="A287" t="s">
        <v>1442</v>
      </c>
      <c r="B287" t="s">
        <v>1443</v>
      </c>
      <c r="C287" t="s">
        <v>1460</v>
      </c>
    </row>
    <row r="288" spans="1:3">
      <c r="A288" t="s">
        <v>1442</v>
      </c>
      <c r="B288" t="s">
        <v>1443</v>
      </c>
      <c r="C288" t="s">
        <v>1461</v>
      </c>
    </row>
    <row r="289" spans="1:3">
      <c r="A289" t="s">
        <v>1442</v>
      </c>
      <c r="B289" t="s">
        <v>1443</v>
      </c>
      <c r="C289" t="s">
        <v>1462</v>
      </c>
    </row>
    <row r="290" spans="1:3">
      <c r="A290" t="s">
        <v>1442</v>
      </c>
      <c r="B290" t="s">
        <v>1443</v>
      </c>
      <c r="C290" t="s">
        <v>1463</v>
      </c>
    </row>
    <row r="291" spans="1:3">
      <c r="A291" t="s">
        <v>1442</v>
      </c>
      <c r="B291" t="s">
        <v>1443</v>
      </c>
      <c r="C291" t="s">
        <v>1464</v>
      </c>
    </row>
    <row r="292" spans="1:3">
      <c r="A292" t="s">
        <v>1442</v>
      </c>
      <c r="B292" t="s">
        <v>1443</v>
      </c>
      <c r="C292" t="s">
        <v>1465</v>
      </c>
    </row>
    <row r="293" spans="1:3">
      <c r="A293" t="s">
        <v>1442</v>
      </c>
      <c r="B293" t="s">
        <v>1443</v>
      </c>
      <c r="C293" t="s">
        <v>1466</v>
      </c>
    </row>
    <row r="294" spans="1:3">
      <c r="A294" t="s">
        <v>1442</v>
      </c>
      <c r="B294" t="s">
        <v>1443</v>
      </c>
      <c r="C294" t="s">
        <v>1467</v>
      </c>
    </row>
    <row r="295" spans="1:3">
      <c r="A295" t="s">
        <v>1442</v>
      </c>
      <c r="B295" t="s">
        <v>1443</v>
      </c>
      <c r="C295" t="s">
        <v>1468</v>
      </c>
    </row>
    <row r="296" spans="1:3">
      <c r="A296" t="s">
        <v>1442</v>
      </c>
      <c r="B296" t="s">
        <v>1443</v>
      </c>
      <c r="C296" t="s">
        <v>1469</v>
      </c>
    </row>
    <row r="297" spans="1:3">
      <c r="A297" t="s">
        <v>1442</v>
      </c>
      <c r="B297" t="s">
        <v>1443</v>
      </c>
      <c r="C297" t="s">
        <v>528</v>
      </c>
    </row>
    <row r="298" spans="1:3">
      <c r="A298" t="s">
        <v>1442</v>
      </c>
      <c r="B298" t="s">
        <v>1443</v>
      </c>
      <c r="C298" t="s">
        <v>1470</v>
      </c>
    </row>
    <row r="299" spans="1:3">
      <c r="A299" t="s">
        <v>1442</v>
      </c>
      <c r="B299" t="s">
        <v>1443</v>
      </c>
      <c r="C299" t="s">
        <v>1471</v>
      </c>
    </row>
    <row r="300" spans="1:3">
      <c r="A300" t="s">
        <v>1442</v>
      </c>
      <c r="B300" t="s">
        <v>1443</v>
      </c>
      <c r="C300" t="s">
        <v>1472</v>
      </c>
    </row>
    <row r="301" spans="1:3">
      <c r="A301" t="s">
        <v>1442</v>
      </c>
      <c r="B301" t="s">
        <v>1443</v>
      </c>
      <c r="C301" t="s">
        <v>1473</v>
      </c>
    </row>
    <row r="302" spans="1:3">
      <c r="A302" t="s">
        <v>1442</v>
      </c>
      <c r="B302" t="s">
        <v>1443</v>
      </c>
      <c r="C302" t="s">
        <v>1474</v>
      </c>
    </row>
    <row r="303" spans="1:3">
      <c r="A303" t="s">
        <v>1442</v>
      </c>
      <c r="B303" t="s">
        <v>1443</v>
      </c>
      <c r="C303" t="s">
        <v>1475</v>
      </c>
    </row>
    <row r="304" spans="1:3">
      <c r="A304" t="s">
        <v>1442</v>
      </c>
      <c r="B304" t="s">
        <v>1443</v>
      </c>
      <c r="C304" t="s">
        <v>1476</v>
      </c>
    </row>
    <row r="305" spans="1:3">
      <c r="A305" t="s">
        <v>1442</v>
      </c>
      <c r="B305" t="s">
        <v>1443</v>
      </c>
      <c r="C305" t="s">
        <v>1477</v>
      </c>
    </row>
    <row r="306" spans="1:3">
      <c r="A306" t="s">
        <v>1442</v>
      </c>
      <c r="B306" t="s">
        <v>1443</v>
      </c>
      <c r="C306" t="s">
        <v>1478</v>
      </c>
    </row>
    <row r="307" spans="1:3">
      <c r="A307" t="s">
        <v>1442</v>
      </c>
      <c r="B307" t="s">
        <v>1443</v>
      </c>
      <c r="C307" t="s">
        <v>529</v>
      </c>
    </row>
    <row r="308" spans="1:3">
      <c r="A308" t="s">
        <v>1442</v>
      </c>
      <c r="B308" t="s">
        <v>1443</v>
      </c>
      <c r="C308" t="s">
        <v>1479</v>
      </c>
    </row>
    <row r="309" spans="1:3">
      <c r="A309" t="s">
        <v>1442</v>
      </c>
      <c r="B309" t="s">
        <v>1443</v>
      </c>
      <c r="C309" t="s">
        <v>1480</v>
      </c>
    </row>
    <row r="310" spans="1:3">
      <c r="A310" t="s">
        <v>1442</v>
      </c>
      <c r="B310" t="s">
        <v>1443</v>
      </c>
      <c r="C310" t="s">
        <v>1481</v>
      </c>
    </row>
    <row r="311" spans="1:3">
      <c r="A311" t="s">
        <v>1442</v>
      </c>
      <c r="B311" t="s">
        <v>1443</v>
      </c>
      <c r="C311" t="s">
        <v>1482</v>
      </c>
    </row>
    <row r="312" spans="1:3">
      <c r="A312" t="s">
        <v>1442</v>
      </c>
      <c r="B312" t="s">
        <v>1443</v>
      </c>
      <c r="C312" t="s">
        <v>1483</v>
      </c>
    </row>
    <row r="313" spans="1:3">
      <c r="A313" t="s">
        <v>1442</v>
      </c>
      <c r="B313" t="s">
        <v>1443</v>
      </c>
      <c r="C313" t="s">
        <v>1484</v>
      </c>
    </row>
    <row r="314" spans="1:3">
      <c r="A314" t="s">
        <v>1442</v>
      </c>
      <c r="B314" t="s">
        <v>1443</v>
      </c>
      <c r="C314" t="s">
        <v>1485</v>
      </c>
    </row>
    <row r="315" spans="1:3">
      <c r="A315" t="s">
        <v>1442</v>
      </c>
      <c r="B315" t="s">
        <v>1443</v>
      </c>
      <c r="C315" t="s">
        <v>1486</v>
      </c>
    </row>
    <row r="316" spans="1:3">
      <c r="A316" t="s">
        <v>1442</v>
      </c>
      <c r="B316" t="s">
        <v>1443</v>
      </c>
      <c r="C316" t="s">
        <v>1487</v>
      </c>
    </row>
    <row r="317" spans="1:3">
      <c r="A317" t="s">
        <v>1442</v>
      </c>
      <c r="B317" t="s">
        <v>1443</v>
      </c>
      <c r="C317" t="s">
        <v>1488</v>
      </c>
    </row>
    <row r="318" spans="1:3">
      <c r="A318" t="s">
        <v>1442</v>
      </c>
      <c r="B318" t="s">
        <v>1443</v>
      </c>
      <c r="C318" t="s">
        <v>1489</v>
      </c>
    </row>
    <row r="319" spans="1:3">
      <c r="A319" t="s">
        <v>1442</v>
      </c>
      <c r="B319" t="s">
        <v>1443</v>
      </c>
      <c r="C319" t="s">
        <v>1490</v>
      </c>
    </row>
    <row r="320" spans="1:3">
      <c r="A320" t="s">
        <v>1442</v>
      </c>
      <c r="B320" t="s">
        <v>1443</v>
      </c>
      <c r="C320" t="s">
        <v>1491</v>
      </c>
    </row>
    <row r="321" spans="1:3">
      <c r="A321" t="s">
        <v>1442</v>
      </c>
      <c r="B321" t="s">
        <v>1443</v>
      </c>
      <c r="C321" t="s">
        <v>1492</v>
      </c>
    </row>
    <row r="322" spans="1:3">
      <c r="A322" t="s">
        <v>1442</v>
      </c>
      <c r="B322" t="s">
        <v>1443</v>
      </c>
      <c r="C322" t="s">
        <v>1493</v>
      </c>
    </row>
    <row r="323" spans="1:3">
      <c r="A323" t="s">
        <v>1442</v>
      </c>
      <c r="B323" t="s">
        <v>1443</v>
      </c>
      <c r="C323" t="s">
        <v>1494</v>
      </c>
    </row>
    <row r="324" spans="1:3">
      <c r="A324" t="s">
        <v>1442</v>
      </c>
      <c r="B324" t="s">
        <v>1443</v>
      </c>
      <c r="C324" t="s">
        <v>513</v>
      </c>
    </row>
    <row r="325" spans="1:3">
      <c r="A325" t="s">
        <v>1442</v>
      </c>
      <c r="B325" t="s">
        <v>1443</v>
      </c>
      <c r="C325" t="s">
        <v>1495</v>
      </c>
    </row>
    <row r="326" spans="1:3">
      <c r="A326" t="s">
        <v>1442</v>
      </c>
      <c r="B326" t="s">
        <v>1443</v>
      </c>
      <c r="C326" t="s">
        <v>1496</v>
      </c>
    </row>
    <row r="327" spans="1:3">
      <c r="A327" t="s">
        <v>1442</v>
      </c>
      <c r="B327" t="s">
        <v>1443</v>
      </c>
      <c r="C327" t="s">
        <v>1497</v>
      </c>
    </row>
    <row r="328" spans="1:3">
      <c r="A328" t="s">
        <v>1442</v>
      </c>
      <c r="B328" t="s">
        <v>1443</v>
      </c>
      <c r="C328" t="s">
        <v>1498</v>
      </c>
    </row>
    <row r="329" spans="1:3">
      <c r="A329" t="s">
        <v>1442</v>
      </c>
      <c r="B329" t="s">
        <v>1443</v>
      </c>
      <c r="C329" t="s">
        <v>1499</v>
      </c>
    </row>
    <row r="330" spans="1:3">
      <c r="A330" t="s">
        <v>1442</v>
      </c>
      <c r="B330" t="s">
        <v>1443</v>
      </c>
      <c r="C330" t="s">
        <v>1500</v>
      </c>
    </row>
    <row r="331" spans="1:3">
      <c r="A331" t="s">
        <v>1442</v>
      </c>
      <c r="B331" t="s">
        <v>1443</v>
      </c>
      <c r="C331" t="s">
        <v>1501</v>
      </c>
    </row>
    <row r="332" spans="1:3">
      <c r="A332" t="s">
        <v>1442</v>
      </c>
      <c r="B332" t="s">
        <v>1443</v>
      </c>
      <c r="C332" t="s">
        <v>1502</v>
      </c>
    </row>
    <row r="333" spans="1:3">
      <c r="A333" t="s">
        <v>1442</v>
      </c>
      <c r="B333" t="s">
        <v>1503</v>
      </c>
      <c r="C333" t="s">
        <v>1182</v>
      </c>
    </row>
    <row r="334" spans="1:3">
      <c r="A334" t="s">
        <v>1442</v>
      </c>
      <c r="B334" t="s">
        <v>1503</v>
      </c>
      <c r="C334" t="s">
        <v>1504</v>
      </c>
    </row>
    <row r="335" spans="1:3">
      <c r="A335" t="s">
        <v>1442</v>
      </c>
      <c r="B335" t="s">
        <v>1503</v>
      </c>
      <c r="C335" t="s">
        <v>1183</v>
      </c>
    </row>
    <row r="336" spans="1:3">
      <c r="A336" t="s">
        <v>1442</v>
      </c>
      <c r="B336" t="s">
        <v>1503</v>
      </c>
      <c r="C336" t="s">
        <v>1505</v>
      </c>
    </row>
    <row r="337" spans="1:3">
      <c r="A337" t="s">
        <v>1442</v>
      </c>
      <c r="B337" t="s">
        <v>1503</v>
      </c>
      <c r="C337" t="s">
        <v>1506</v>
      </c>
    </row>
    <row r="338" spans="1:3">
      <c r="A338" t="s">
        <v>1442</v>
      </c>
      <c r="B338" t="s">
        <v>1503</v>
      </c>
      <c r="C338" t="s">
        <v>1507</v>
      </c>
    </row>
    <row r="339" spans="1:3">
      <c r="A339" t="s">
        <v>1442</v>
      </c>
      <c r="B339" t="s">
        <v>1503</v>
      </c>
      <c r="C339" t="s">
        <v>1508</v>
      </c>
    </row>
    <row r="340" spans="1:3">
      <c r="A340" t="s">
        <v>1442</v>
      </c>
      <c r="B340" t="s">
        <v>1503</v>
      </c>
      <c r="C340" t="s">
        <v>1509</v>
      </c>
    </row>
    <row r="341" spans="1:3">
      <c r="A341" t="s">
        <v>1442</v>
      </c>
      <c r="B341" t="s">
        <v>1503</v>
      </c>
      <c r="C341" t="s">
        <v>1510</v>
      </c>
    </row>
    <row r="342" spans="1:3">
      <c r="A342" t="s">
        <v>1442</v>
      </c>
      <c r="B342" t="s">
        <v>1503</v>
      </c>
      <c r="C342" t="s">
        <v>1186</v>
      </c>
    </row>
    <row r="343" spans="1:3">
      <c r="A343" t="s">
        <v>1442</v>
      </c>
      <c r="B343" t="s">
        <v>1503</v>
      </c>
      <c r="C343" t="s">
        <v>1187</v>
      </c>
    </row>
    <row r="344" spans="1:3">
      <c r="A344" t="s">
        <v>1442</v>
      </c>
      <c r="B344" t="s">
        <v>1503</v>
      </c>
      <c r="C344" t="s">
        <v>1188</v>
      </c>
    </row>
    <row r="345" spans="1:3">
      <c r="A345" t="s">
        <v>1442</v>
      </c>
      <c r="B345" t="s">
        <v>1503</v>
      </c>
      <c r="C345" t="s">
        <v>1189</v>
      </c>
    </row>
    <row r="346" spans="1:3">
      <c r="A346" t="s">
        <v>1442</v>
      </c>
      <c r="B346" t="s">
        <v>1503</v>
      </c>
      <c r="C346" t="s">
        <v>1190</v>
      </c>
    </row>
    <row r="347" spans="1:3">
      <c r="A347" t="s">
        <v>1442</v>
      </c>
      <c r="B347" t="s">
        <v>1503</v>
      </c>
      <c r="C347" t="s">
        <v>1191</v>
      </c>
    </row>
    <row r="348" spans="1:3">
      <c r="A348" t="s">
        <v>1442</v>
      </c>
      <c r="B348" t="s">
        <v>1503</v>
      </c>
      <c r="C348" t="s">
        <v>1193</v>
      </c>
    </row>
    <row r="349" spans="1:3">
      <c r="A349" s="53" t="s">
        <v>1442</v>
      </c>
      <c r="B349" s="53" t="s">
        <v>1503</v>
      </c>
      <c r="C349" t="s">
        <v>1194</v>
      </c>
    </row>
    <row r="350" spans="1:3">
      <c r="A350" t="s">
        <v>1442</v>
      </c>
      <c r="B350" t="s">
        <v>1503</v>
      </c>
      <c r="C350" t="s">
        <v>1196</v>
      </c>
    </row>
    <row r="351" spans="1:3">
      <c r="A351" t="s">
        <v>1442</v>
      </c>
      <c r="B351" t="s">
        <v>1503</v>
      </c>
      <c r="C351" t="s">
        <v>1511</v>
      </c>
    </row>
    <row r="352" spans="1:3">
      <c r="A352" t="s">
        <v>1442</v>
      </c>
      <c r="B352" t="s">
        <v>1503</v>
      </c>
      <c r="C352" t="s">
        <v>1199</v>
      </c>
    </row>
    <row r="353" spans="1:3">
      <c r="A353" t="s">
        <v>1442</v>
      </c>
      <c r="B353" t="s">
        <v>1503</v>
      </c>
      <c r="C353" t="s">
        <v>1512</v>
      </c>
    </row>
    <row r="354" spans="1:3">
      <c r="A354" t="s">
        <v>1442</v>
      </c>
      <c r="B354" t="s">
        <v>1513</v>
      </c>
      <c r="C354" t="s">
        <v>1183</v>
      </c>
    </row>
    <row r="355" spans="1:3">
      <c r="A355" t="s">
        <v>1442</v>
      </c>
      <c r="B355" t="s">
        <v>1513</v>
      </c>
      <c r="C355" t="s">
        <v>1514</v>
      </c>
    </row>
    <row r="356" spans="1:3">
      <c r="A356" t="s">
        <v>1442</v>
      </c>
      <c r="B356" t="s">
        <v>1513</v>
      </c>
      <c r="C356" t="s">
        <v>1515</v>
      </c>
    </row>
    <row r="357" spans="1:3">
      <c r="A357" t="s">
        <v>1442</v>
      </c>
      <c r="B357" t="s">
        <v>1513</v>
      </c>
      <c r="C357" t="s">
        <v>1516</v>
      </c>
    </row>
    <row r="358" spans="1:3">
      <c r="A358" t="s">
        <v>1442</v>
      </c>
      <c r="B358" t="s">
        <v>1513</v>
      </c>
      <c r="C358" t="s">
        <v>1517</v>
      </c>
    </row>
    <row r="359" spans="1:3">
      <c r="A359" t="s">
        <v>1442</v>
      </c>
      <c r="B359" t="s">
        <v>1513</v>
      </c>
      <c r="C359" t="s">
        <v>1518</v>
      </c>
    </row>
    <row r="360" spans="1:3">
      <c r="A360" t="s">
        <v>1442</v>
      </c>
      <c r="B360" t="s">
        <v>1513</v>
      </c>
      <c r="C360" t="s">
        <v>1519</v>
      </c>
    </row>
    <row r="361" spans="1:3">
      <c r="A361" t="s">
        <v>1442</v>
      </c>
      <c r="B361" t="s">
        <v>1513</v>
      </c>
      <c r="C361" t="s">
        <v>1520</v>
      </c>
    </row>
    <row r="362" spans="1:3">
      <c r="A362" t="s">
        <v>1442</v>
      </c>
      <c r="B362" t="s">
        <v>1513</v>
      </c>
      <c r="C362" t="s">
        <v>1521</v>
      </c>
    </row>
    <row r="363" spans="1:3">
      <c r="A363" t="s">
        <v>1442</v>
      </c>
      <c r="B363" t="s">
        <v>1513</v>
      </c>
      <c r="C363" t="s">
        <v>1522</v>
      </c>
    </row>
    <row r="364" spans="1:3">
      <c r="A364" t="s">
        <v>1442</v>
      </c>
      <c r="B364" t="s">
        <v>1513</v>
      </c>
      <c r="C364" t="s">
        <v>1523</v>
      </c>
    </row>
    <row r="365" spans="1:3">
      <c r="A365" t="s">
        <v>1442</v>
      </c>
      <c r="B365" t="s">
        <v>1513</v>
      </c>
      <c r="C365" t="s">
        <v>1524</v>
      </c>
    </row>
    <row r="366" spans="1:3">
      <c r="A366" s="53" t="s">
        <v>1442</v>
      </c>
      <c r="B366" s="53" t="s">
        <v>1513</v>
      </c>
      <c r="C366" t="s">
        <v>1525</v>
      </c>
    </row>
    <row r="367" spans="1:3">
      <c r="A367" t="s">
        <v>1442</v>
      </c>
      <c r="B367" t="s">
        <v>1513</v>
      </c>
      <c r="C367" t="s">
        <v>1526</v>
      </c>
    </row>
    <row r="368" spans="1:3">
      <c r="A368" t="s">
        <v>1442</v>
      </c>
      <c r="B368" t="s">
        <v>1527</v>
      </c>
      <c r="C368" t="s">
        <v>1442</v>
      </c>
    </row>
    <row r="369" spans="1:3">
      <c r="A369" t="s">
        <v>1442</v>
      </c>
      <c r="B369" t="s">
        <v>1527</v>
      </c>
      <c r="C369" t="s">
        <v>1528</v>
      </c>
    </row>
    <row r="370" spans="1:3">
      <c r="A370" t="s">
        <v>1442</v>
      </c>
      <c r="B370" t="s">
        <v>1527</v>
      </c>
      <c r="C370" t="s">
        <v>1529</v>
      </c>
    </row>
    <row r="371" spans="1:3">
      <c r="A371" t="s">
        <v>1442</v>
      </c>
      <c r="B371" t="s">
        <v>1527</v>
      </c>
      <c r="C371" t="s">
        <v>1530</v>
      </c>
    </row>
    <row r="372" spans="1:3">
      <c r="A372" t="s">
        <v>1442</v>
      </c>
      <c r="B372" t="s">
        <v>1527</v>
      </c>
      <c r="C372" t="s">
        <v>1531</v>
      </c>
    </row>
    <row r="373" spans="1:3">
      <c r="A373" t="s">
        <v>1442</v>
      </c>
      <c r="B373" t="s">
        <v>1527</v>
      </c>
      <c r="C373" t="s">
        <v>1532</v>
      </c>
    </row>
    <row r="374" spans="1:3">
      <c r="A374" t="s">
        <v>1442</v>
      </c>
      <c r="B374" t="s">
        <v>1527</v>
      </c>
      <c r="C374" t="s">
        <v>1533</v>
      </c>
    </row>
    <row r="375" spans="1:3">
      <c r="A375" t="s">
        <v>1442</v>
      </c>
      <c r="B375" t="s">
        <v>1527</v>
      </c>
      <c r="C375" t="s">
        <v>1534</v>
      </c>
    </row>
    <row r="376" spans="1:3">
      <c r="A376" t="s">
        <v>1442</v>
      </c>
      <c r="B376" t="s">
        <v>1527</v>
      </c>
      <c r="C376" t="s">
        <v>1535</v>
      </c>
    </row>
    <row r="377" spans="1:3">
      <c r="A377" t="s">
        <v>1442</v>
      </c>
      <c r="B377" t="s">
        <v>1527</v>
      </c>
      <c r="C377" t="s">
        <v>1452</v>
      </c>
    </row>
    <row r="378" spans="1:3">
      <c r="A378" t="s">
        <v>1442</v>
      </c>
      <c r="B378" t="s">
        <v>1527</v>
      </c>
      <c r="C378" t="s">
        <v>1536</v>
      </c>
    </row>
    <row r="379" spans="1:3">
      <c r="A379" t="s">
        <v>1442</v>
      </c>
      <c r="B379" t="s">
        <v>1527</v>
      </c>
      <c r="C379" t="s">
        <v>1537</v>
      </c>
    </row>
    <row r="380" spans="1:3">
      <c r="A380" t="s">
        <v>1442</v>
      </c>
      <c r="B380" t="s">
        <v>1527</v>
      </c>
      <c r="C380" t="s">
        <v>1538</v>
      </c>
    </row>
    <row r="381" spans="1:3">
      <c r="A381" t="s">
        <v>1442</v>
      </c>
      <c r="B381" t="s">
        <v>1527</v>
      </c>
      <c r="C381" t="s">
        <v>1539</v>
      </c>
    </row>
    <row r="382" spans="1:3">
      <c r="A382" t="s">
        <v>1442</v>
      </c>
      <c r="B382" t="s">
        <v>1527</v>
      </c>
      <c r="C382" t="s">
        <v>1540</v>
      </c>
    </row>
    <row r="383" spans="1:3">
      <c r="A383" s="53" t="s">
        <v>1442</v>
      </c>
      <c r="B383" s="53" t="s">
        <v>1527</v>
      </c>
      <c r="C383" t="s">
        <v>1541</v>
      </c>
    </row>
    <row r="384" spans="1:3">
      <c r="A384" t="s">
        <v>1442</v>
      </c>
      <c r="B384" t="s">
        <v>1527</v>
      </c>
      <c r="C384" t="s">
        <v>1542</v>
      </c>
    </row>
    <row r="385" spans="1:6">
      <c r="A385" t="s">
        <v>1442</v>
      </c>
      <c r="B385" t="s">
        <v>1527</v>
      </c>
      <c r="C385" t="s">
        <v>1543</v>
      </c>
    </row>
    <row r="386" spans="1:6">
      <c r="A386" t="s">
        <v>1442</v>
      </c>
      <c r="B386" t="s">
        <v>1527</v>
      </c>
      <c r="C386" t="s">
        <v>1544</v>
      </c>
    </row>
    <row r="387" spans="1:6">
      <c r="A387" t="s">
        <v>1442</v>
      </c>
      <c r="B387" t="s">
        <v>1527</v>
      </c>
      <c r="C387" t="s">
        <v>1545</v>
      </c>
    </row>
    <row r="388" spans="1:6">
      <c r="A388" t="s">
        <v>1442</v>
      </c>
      <c r="B388" t="s">
        <v>1527</v>
      </c>
      <c r="C388" t="s">
        <v>1546</v>
      </c>
    </row>
    <row r="389" spans="1:6">
      <c r="A389" t="s">
        <v>1547</v>
      </c>
      <c r="B389" t="s">
        <v>1548</v>
      </c>
      <c r="C389" t="s">
        <v>1549</v>
      </c>
    </row>
    <row r="390" spans="1:6">
      <c r="A390" t="s">
        <v>1547</v>
      </c>
      <c r="B390" t="s">
        <v>1548</v>
      </c>
      <c r="C390" t="s">
        <v>1550</v>
      </c>
    </row>
    <row r="391" spans="1:6">
      <c r="A391" t="s">
        <v>1547</v>
      </c>
      <c r="B391" t="s">
        <v>1548</v>
      </c>
      <c r="C391" t="s">
        <v>1551</v>
      </c>
    </row>
    <row r="392" spans="1:6">
      <c r="A392" t="s">
        <v>1547</v>
      </c>
      <c r="B392" t="s">
        <v>1548</v>
      </c>
      <c r="C392" t="s">
        <v>1552</v>
      </c>
    </row>
    <row r="393" spans="1:6">
      <c r="A393" t="s">
        <v>1547</v>
      </c>
      <c r="B393" t="s">
        <v>1548</v>
      </c>
      <c r="C393" t="s">
        <v>1553</v>
      </c>
    </row>
    <row r="394" spans="1:6">
      <c r="A394" t="s">
        <v>1547</v>
      </c>
      <c r="B394" t="s">
        <v>1548</v>
      </c>
      <c r="C394" t="s">
        <v>1554</v>
      </c>
    </row>
    <row r="395" spans="1:6">
      <c r="A395" t="s">
        <v>1547</v>
      </c>
      <c r="B395" t="s">
        <v>1548</v>
      </c>
      <c r="C395" t="s">
        <v>1555</v>
      </c>
    </row>
    <row r="396" spans="1:6">
      <c r="A396" t="s">
        <v>1547</v>
      </c>
      <c r="B396" t="s">
        <v>1548</v>
      </c>
      <c r="C396" t="s">
        <v>1556</v>
      </c>
      <c r="F396" s="35"/>
    </row>
    <row r="397" spans="1:6">
      <c r="A397" t="s">
        <v>1547</v>
      </c>
      <c r="B397" t="s">
        <v>1548</v>
      </c>
      <c r="C397" t="s">
        <v>661</v>
      </c>
    </row>
    <row r="398" spans="1:6">
      <c r="A398" t="s">
        <v>1547</v>
      </c>
      <c r="B398" t="s">
        <v>1548</v>
      </c>
      <c r="C398" t="s">
        <v>647</v>
      </c>
    </row>
    <row r="399" spans="1:6">
      <c r="A399" t="s">
        <v>1547</v>
      </c>
      <c r="B399" t="s">
        <v>1548</v>
      </c>
      <c r="C399" t="s">
        <v>648</v>
      </c>
    </row>
    <row r="400" spans="1:6">
      <c r="A400" t="s">
        <v>1547</v>
      </c>
      <c r="B400" t="s">
        <v>1548</v>
      </c>
      <c r="C400" t="s">
        <v>649</v>
      </c>
    </row>
    <row r="401" spans="1:3">
      <c r="A401" t="s">
        <v>1547</v>
      </c>
      <c r="B401" t="s">
        <v>1548</v>
      </c>
      <c r="C401" t="s">
        <v>650</v>
      </c>
    </row>
    <row r="402" spans="1:3">
      <c r="A402" t="s">
        <v>1547</v>
      </c>
      <c r="B402" t="s">
        <v>1548</v>
      </c>
      <c r="C402" t="s">
        <v>651</v>
      </c>
    </row>
    <row r="403" spans="1:3">
      <c r="A403" t="s">
        <v>1547</v>
      </c>
      <c r="B403" t="s">
        <v>1548</v>
      </c>
      <c r="C403" t="s">
        <v>652</v>
      </c>
    </row>
    <row r="404" spans="1:3">
      <c r="A404" t="s">
        <v>1547</v>
      </c>
      <c r="B404" t="s">
        <v>1548</v>
      </c>
      <c r="C404" t="s">
        <v>653</v>
      </c>
    </row>
    <row r="405" spans="1:3">
      <c r="A405" t="s">
        <v>1547</v>
      </c>
      <c r="B405" t="s">
        <v>1548</v>
      </c>
      <c r="C405" t="s">
        <v>1557</v>
      </c>
    </row>
    <row r="406" spans="1:3">
      <c r="A406" t="s">
        <v>1547</v>
      </c>
      <c r="B406" t="s">
        <v>1548</v>
      </c>
      <c r="C406" t="s">
        <v>1558</v>
      </c>
    </row>
    <row r="407" spans="1:3">
      <c r="A407" t="s">
        <v>1547</v>
      </c>
      <c r="B407" t="s">
        <v>1548</v>
      </c>
      <c r="C407" t="s">
        <v>1559</v>
      </c>
    </row>
    <row r="408" spans="1:3">
      <c r="A408" t="s">
        <v>1547</v>
      </c>
      <c r="B408" t="s">
        <v>1548</v>
      </c>
      <c r="C408" t="s">
        <v>1560</v>
      </c>
    </row>
    <row r="409" spans="1:3">
      <c r="A409" t="s">
        <v>1547</v>
      </c>
      <c r="B409" t="s">
        <v>1548</v>
      </c>
      <c r="C409" t="s">
        <v>1561</v>
      </c>
    </row>
    <row r="410" spans="1:3">
      <c r="A410" t="s">
        <v>1547</v>
      </c>
      <c r="B410" t="s">
        <v>1562</v>
      </c>
      <c r="C410" t="s">
        <v>1563</v>
      </c>
    </row>
    <row r="411" spans="1:3">
      <c r="A411" t="s">
        <v>1547</v>
      </c>
      <c r="B411" t="s">
        <v>1562</v>
      </c>
      <c r="C411" t="s">
        <v>1564</v>
      </c>
    </row>
    <row r="412" spans="1:3">
      <c r="A412" t="s">
        <v>1547</v>
      </c>
      <c r="B412" t="s">
        <v>1562</v>
      </c>
      <c r="C412" t="s">
        <v>1565</v>
      </c>
    </row>
    <row r="413" spans="1:3">
      <c r="A413" t="s">
        <v>1547</v>
      </c>
      <c r="B413" t="s">
        <v>1562</v>
      </c>
      <c r="C413" t="s">
        <v>1197</v>
      </c>
    </row>
    <row r="414" spans="1:3">
      <c r="A414" t="s">
        <v>1547</v>
      </c>
      <c r="B414" t="s">
        <v>1562</v>
      </c>
      <c r="C414" t="s">
        <v>1566</v>
      </c>
    </row>
    <row r="415" spans="1:3">
      <c r="A415" t="s">
        <v>1547</v>
      </c>
      <c r="B415" t="s">
        <v>1562</v>
      </c>
      <c r="C415" t="s">
        <v>1567</v>
      </c>
    </row>
    <row r="416" spans="1:3">
      <c r="A416" t="s">
        <v>1547</v>
      </c>
      <c r="B416" t="s">
        <v>1562</v>
      </c>
      <c r="C416" t="s">
        <v>1568</v>
      </c>
    </row>
    <row r="417" spans="1:3">
      <c r="A417" t="s">
        <v>1547</v>
      </c>
      <c r="B417" t="s">
        <v>1562</v>
      </c>
      <c r="C417" t="s">
        <v>1569</v>
      </c>
    </row>
    <row r="418" spans="1:3">
      <c r="A418" t="s">
        <v>1547</v>
      </c>
      <c r="B418" t="s">
        <v>1562</v>
      </c>
      <c r="C418" t="s">
        <v>1570</v>
      </c>
    </row>
    <row r="419" spans="1:3">
      <c r="A419" t="s">
        <v>1547</v>
      </c>
      <c r="B419" t="s">
        <v>1562</v>
      </c>
      <c r="C419" t="s">
        <v>1571</v>
      </c>
    </row>
    <row r="420" spans="1:3">
      <c r="A420" t="s">
        <v>1547</v>
      </c>
      <c r="B420" t="s">
        <v>1562</v>
      </c>
      <c r="C420" t="s">
        <v>1572</v>
      </c>
    </row>
    <row r="421" spans="1:3">
      <c r="A421" t="s">
        <v>1547</v>
      </c>
      <c r="B421" t="s">
        <v>1562</v>
      </c>
      <c r="C421" t="s">
        <v>1573</v>
      </c>
    </row>
    <row r="422" spans="1:3">
      <c r="A422" t="s">
        <v>1547</v>
      </c>
      <c r="B422" t="s">
        <v>1562</v>
      </c>
      <c r="C422" t="s">
        <v>1574</v>
      </c>
    </row>
    <row r="423" spans="1:3">
      <c r="A423" t="s">
        <v>1547</v>
      </c>
      <c r="B423" t="s">
        <v>1562</v>
      </c>
      <c r="C423" t="s">
        <v>1575</v>
      </c>
    </row>
    <row r="424" spans="1:3">
      <c r="A424" t="s">
        <v>1547</v>
      </c>
      <c r="B424" t="s">
        <v>1562</v>
      </c>
      <c r="C424" t="s">
        <v>1576</v>
      </c>
    </row>
    <row r="425" spans="1:3">
      <c r="A425" t="s">
        <v>1547</v>
      </c>
      <c r="B425" t="s">
        <v>1562</v>
      </c>
      <c r="C425" t="s">
        <v>1577</v>
      </c>
    </row>
    <row r="426" spans="1:3">
      <c r="A426" t="s">
        <v>1547</v>
      </c>
      <c r="B426" t="s">
        <v>1562</v>
      </c>
      <c r="C426" t="s">
        <v>1578</v>
      </c>
    </row>
    <row r="427" spans="1:3">
      <c r="A427" t="s">
        <v>1547</v>
      </c>
      <c r="B427" t="s">
        <v>1562</v>
      </c>
      <c r="C427" t="s">
        <v>1579</v>
      </c>
    </row>
    <row r="428" spans="1:3">
      <c r="A428" t="s">
        <v>1547</v>
      </c>
      <c r="B428" t="s">
        <v>1562</v>
      </c>
      <c r="C428" t="s">
        <v>1580</v>
      </c>
    </row>
    <row r="429" spans="1:3">
      <c r="A429" t="s">
        <v>1547</v>
      </c>
      <c r="B429" t="s">
        <v>1562</v>
      </c>
      <c r="C429" t="s">
        <v>1581</v>
      </c>
    </row>
    <row r="430" spans="1:3">
      <c r="A430" t="s">
        <v>1547</v>
      </c>
      <c r="B430" t="s">
        <v>1562</v>
      </c>
      <c r="C430" t="s">
        <v>1582</v>
      </c>
    </row>
    <row r="431" spans="1:3">
      <c r="A431" t="s">
        <v>1547</v>
      </c>
      <c r="B431" t="s">
        <v>1562</v>
      </c>
      <c r="C431" t="s">
        <v>1583</v>
      </c>
    </row>
    <row r="432" spans="1:3">
      <c r="A432" t="s">
        <v>1547</v>
      </c>
      <c r="B432" t="s">
        <v>1562</v>
      </c>
      <c r="C432" t="s">
        <v>1584</v>
      </c>
    </row>
    <row r="433" spans="1:6">
      <c r="A433" t="s">
        <v>1547</v>
      </c>
      <c r="B433" t="s">
        <v>1562</v>
      </c>
      <c r="C433" t="s">
        <v>1585</v>
      </c>
    </row>
    <row r="434" spans="1:6">
      <c r="A434" t="s">
        <v>1547</v>
      </c>
      <c r="B434" t="s">
        <v>1562</v>
      </c>
      <c r="C434" t="s">
        <v>1586</v>
      </c>
    </row>
    <row r="435" spans="1:6">
      <c r="A435" t="s">
        <v>1547</v>
      </c>
      <c r="B435" t="s">
        <v>1562</v>
      </c>
      <c r="C435" t="s">
        <v>1587</v>
      </c>
      <c r="F435" s="35"/>
    </row>
    <row r="436" spans="1:6">
      <c r="A436" t="s">
        <v>1547</v>
      </c>
      <c r="B436" t="s">
        <v>1562</v>
      </c>
      <c r="C436" t="s">
        <v>1588</v>
      </c>
    </row>
    <row r="437" spans="1:6">
      <c r="A437" t="s">
        <v>1547</v>
      </c>
      <c r="B437" t="s">
        <v>1562</v>
      </c>
      <c r="C437" t="s">
        <v>1589</v>
      </c>
    </row>
    <row r="438" spans="1:6">
      <c r="A438" t="s">
        <v>1547</v>
      </c>
      <c r="B438" t="s">
        <v>1562</v>
      </c>
      <c r="C438" t="s">
        <v>1590</v>
      </c>
    </row>
    <row r="439" spans="1:6">
      <c r="A439" t="s">
        <v>1547</v>
      </c>
      <c r="B439" t="s">
        <v>1562</v>
      </c>
      <c r="C439" t="s">
        <v>660</v>
      </c>
    </row>
    <row r="440" spans="1:6">
      <c r="A440" t="s">
        <v>1547</v>
      </c>
      <c r="B440" t="s">
        <v>1562</v>
      </c>
      <c r="C440" t="s">
        <v>1591</v>
      </c>
    </row>
    <row r="441" spans="1:6">
      <c r="A441" t="s">
        <v>1547</v>
      </c>
      <c r="B441" t="s">
        <v>1562</v>
      </c>
      <c r="C441" t="s">
        <v>1592</v>
      </c>
    </row>
    <row r="442" spans="1:6">
      <c r="A442" t="s">
        <v>1547</v>
      </c>
      <c r="B442" t="s">
        <v>1562</v>
      </c>
      <c r="C442" t="s">
        <v>1593</v>
      </c>
    </row>
    <row r="443" spans="1:6">
      <c r="A443" t="s">
        <v>1547</v>
      </c>
      <c r="B443" t="s">
        <v>1562</v>
      </c>
      <c r="C443" t="s">
        <v>1594</v>
      </c>
    </row>
    <row r="444" spans="1:6">
      <c r="A444" t="s">
        <v>1547</v>
      </c>
      <c r="B444" t="s">
        <v>1562</v>
      </c>
      <c r="C444" t="s">
        <v>1595</v>
      </c>
    </row>
    <row r="445" spans="1:6">
      <c r="A445" t="s">
        <v>1547</v>
      </c>
      <c r="B445" t="s">
        <v>1562</v>
      </c>
      <c r="C445" t="s">
        <v>1596</v>
      </c>
    </row>
    <row r="446" spans="1:6">
      <c r="A446" t="s">
        <v>1547</v>
      </c>
      <c r="B446" t="s">
        <v>1562</v>
      </c>
      <c r="C446" t="s">
        <v>1597</v>
      </c>
    </row>
    <row r="447" spans="1:6">
      <c r="A447" t="s">
        <v>1547</v>
      </c>
      <c r="B447" t="s">
        <v>1562</v>
      </c>
      <c r="C447" t="s">
        <v>1598</v>
      </c>
    </row>
    <row r="448" spans="1:6">
      <c r="A448" t="s">
        <v>1547</v>
      </c>
      <c r="B448" t="s">
        <v>1562</v>
      </c>
      <c r="C448" t="s">
        <v>1599</v>
      </c>
    </row>
    <row r="449" spans="1:3">
      <c r="A449" t="s">
        <v>1547</v>
      </c>
      <c r="B449" t="s">
        <v>1562</v>
      </c>
      <c r="C449" t="s">
        <v>1600</v>
      </c>
    </row>
    <row r="450" spans="1:3">
      <c r="A450" t="s">
        <v>1547</v>
      </c>
      <c r="B450" t="s">
        <v>1562</v>
      </c>
      <c r="C450" t="s">
        <v>1601</v>
      </c>
    </row>
    <row r="451" spans="1:3">
      <c r="A451" t="s">
        <v>1547</v>
      </c>
      <c r="B451" t="s">
        <v>1562</v>
      </c>
      <c r="C451" t="s">
        <v>1602</v>
      </c>
    </row>
    <row r="452" spans="1:3">
      <c r="A452" t="s">
        <v>1547</v>
      </c>
      <c r="B452" t="s">
        <v>1562</v>
      </c>
      <c r="C452" t="s">
        <v>1603</v>
      </c>
    </row>
    <row r="453" spans="1:3">
      <c r="A453" t="s">
        <v>1547</v>
      </c>
      <c r="B453" t="s">
        <v>1562</v>
      </c>
      <c r="C453" t="s">
        <v>1604</v>
      </c>
    </row>
    <row r="454" spans="1:3">
      <c r="A454" t="s">
        <v>1547</v>
      </c>
      <c r="B454" t="s">
        <v>1562</v>
      </c>
      <c r="C454" t="s">
        <v>1605</v>
      </c>
    </row>
    <row r="455" spans="1:3">
      <c r="A455" t="s">
        <v>1547</v>
      </c>
      <c r="B455" t="s">
        <v>1562</v>
      </c>
      <c r="C455" t="s">
        <v>1606</v>
      </c>
    </row>
    <row r="456" spans="1:3">
      <c r="A456" t="s">
        <v>1547</v>
      </c>
      <c r="B456" t="s">
        <v>1562</v>
      </c>
      <c r="C456" t="s">
        <v>1607</v>
      </c>
    </row>
    <row r="457" spans="1:3">
      <c r="A457" t="s">
        <v>1547</v>
      </c>
      <c r="B457" t="s">
        <v>1562</v>
      </c>
      <c r="C457" t="s">
        <v>1608</v>
      </c>
    </row>
    <row r="458" spans="1:3">
      <c r="A458" t="s">
        <v>1547</v>
      </c>
      <c r="B458" t="s">
        <v>1562</v>
      </c>
      <c r="C458" t="s">
        <v>1609</v>
      </c>
    </row>
    <row r="459" spans="1:3">
      <c r="A459" t="s">
        <v>1547</v>
      </c>
      <c r="B459" t="s">
        <v>1562</v>
      </c>
      <c r="C459" t="s">
        <v>1610</v>
      </c>
    </row>
    <row r="460" spans="1:3">
      <c r="A460" t="s">
        <v>1547</v>
      </c>
      <c r="B460" t="s">
        <v>1562</v>
      </c>
      <c r="C460" t="s">
        <v>1611</v>
      </c>
    </row>
    <row r="461" spans="1:3">
      <c r="A461" t="s">
        <v>1547</v>
      </c>
      <c r="B461" t="s">
        <v>1562</v>
      </c>
      <c r="C461" t="s">
        <v>1612</v>
      </c>
    </row>
    <row r="462" spans="1:3">
      <c r="A462" t="s">
        <v>1547</v>
      </c>
      <c r="B462" t="s">
        <v>1562</v>
      </c>
      <c r="C462" t="s">
        <v>1613</v>
      </c>
    </row>
    <row r="463" spans="1:3">
      <c r="A463" t="s">
        <v>1547</v>
      </c>
      <c r="B463" t="s">
        <v>1562</v>
      </c>
      <c r="C463" t="s">
        <v>1614</v>
      </c>
    </row>
    <row r="464" spans="1:3">
      <c r="A464" s="53" t="s">
        <v>1276</v>
      </c>
      <c r="B464" s="53" t="s">
        <v>1277</v>
      </c>
      <c r="C464" s="54" t="s">
        <v>1615</v>
      </c>
    </row>
    <row r="465" spans="1:3">
      <c r="A465" t="s">
        <v>1276</v>
      </c>
      <c r="B465" t="s">
        <v>1277</v>
      </c>
      <c r="C465" t="s">
        <v>1616</v>
      </c>
    </row>
    <row r="466" spans="1:3">
      <c r="A466" t="s">
        <v>1276</v>
      </c>
      <c r="B466" t="s">
        <v>1277</v>
      </c>
      <c r="C466" s="35" t="s">
        <v>1617</v>
      </c>
    </row>
    <row r="467" spans="1:3">
      <c r="A467" s="55" t="s">
        <v>1276</v>
      </c>
      <c r="B467" s="55" t="s">
        <v>1277</v>
      </c>
      <c r="C467" t="s">
        <v>1618</v>
      </c>
    </row>
    <row r="468" spans="1:3">
      <c r="A468" s="55" t="s">
        <v>1276</v>
      </c>
      <c r="B468" s="55" t="s">
        <v>1277</v>
      </c>
      <c r="C468" t="s">
        <v>1619</v>
      </c>
    </row>
    <row r="469" spans="1:3">
      <c r="A469" s="55" t="s">
        <v>1276</v>
      </c>
      <c r="B469" s="55" t="s">
        <v>1277</v>
      </c>
      <c r="C469" t="s">
        <v>1620</v>
      </c>
    </row>
    <row r="470" spans="1:3">
      <c r="A470" s="55" t="s">
        <v>1276</v>
      </c>
      <c r="B470" s="55" t="s">
        <v>1277</v>
      </c>
      <c r="C470" t="s">
        <v>1621</v>
      </c>
    </row>
    <row r="471" spans="1:3">
      <c r="A471" s="55" t="s">
        <v>1276</v>
      </c>
      <c r="B471" s="55" t="s">
        <v>1277</v>
      </c>
      <c r="C471" t="s">
        <v>1622</v>
      </c>
    </row>
    <row r="472" spans="1:3">
      <c r="A472" s="55" t="s">
        <v>1276</v>
      </c>
      <c r="B472" s="55" t="s">
        <v>1277</v>
      </c>
      <c r="C472" t="s">
        <v>1623</v>
      </c>
    </row>
    <row r="473" spans="1:3">
      <c r="A473" s="55" t="s">
        <v>1276</v>
      </c>
      <c r="B473" s="55" t="s">
        <v>1277</v>
      </c>
      <c r="C473" t="s">
        <v>1624</v>
      </c>
    </row>
    <row r="474" spans="1:3">
      <c r="A474" s="55" t="s">
        <v>1276</v>
      </c>
      <c r="B474" s="55" t="s">
        <v>1277</v>
      </c>
      <c r="C474" t="s">
        <v>1625</v>
      </c>
    </row>
    <row r="475" spans="1:3">
      <c r="A475" s="55" t="s">
        <v>1276</v>
      </c>
      <c r="B475" s="55" t="s">
        <v>1277</v>
      </c>
      <c r="C475" t="s">
        <v>1626</v>
      </c>
    </row>
    <row r="476" spans="1:3">
      <c r="A476" s="55" t="s">
        <v>1276</v>
      </c>
      <c r="B476" s="55" t="s">
        <v>1277</v>
      </c>
      <c r="C476" t="s">
        <v>1627</v>
      </c>
    </row>
    <row r="477" spans="1:3">
      <c r="A477" s="55" t="s">
        <v>1276</v>
      </c>
      <c r="B477" s="55" t="s">
        <v>1277</v>
      </c>
      <c r="C477" t="s">
        <v>1628</v>
      </c>
    </row>
    <row r="478" spans="1:3">
      <c r="A478" s="55" t="s">
        <v>1276</v>
      </c>
      <c r="B478" s="55" t="s">
        <v>1277</v>
      </c>
      <c r="C478" t="s">
        <v>1629</v>
      </c>
    </row>
    <row r="479" spans="1:3">
      <c r="A479" s="55" t="s">
        <v>1276</v>
      </c>
      <c r="B479" s="55" t="s">
        <v>1277</v>
      </c>
      <c r="C479" t="s">
        <v>1630</v>
      </c>
    </row>
    <row r="480" spans="1:3">
      <c r="A480" s="55" t="s">
        <v>1276</v>
      </c>
      <c r="B480" s="55" t="s">
        <v>1277</v>
      </c>
      <c r="C480" t="s">
        <v>1631</v>
      </c>
    </row>
    <row r="481" spans="1:3">
      <c r="A481" s="55" t="s">
        <v>1276</v>
      </c>
      <c r="B481" s="55" t="s">
        <v>1277</v>
      </c>
      <c r="C481" t="s">
        <v>1632</v>
      </c>
    </row>
    <row r="482" spans="1:3">
      <c r="A482" s="55" t="s">
        <v>1276</v>
      </c>
      <c r="B482" s="55" t="s">
        <v>1277</v>
      </c>
      <c r="C482" s="35" t="s">
        <v>1633</v>
      </c>
    </row>
    <row r="483" spans="1:3">
      <c r="A483" s="55" t="s">
        <v>1276</v>
      </c>
      <c r="B483" s="55" t="s">
        <v>1277</v>
      </c>
      <c r="C483" t="s">
        <v>1634</v>
      </c>
    </row>
    <row r="484" spans="1:3">
      <c r="A484" s="55" t="s">
        <v>1276</v>
      </c>
      <c r="B484" s="55" t="s">
        <v>1277</v>
      </c>
      <c r="C484" t="s">
        <v>1635</v>
      </c>
    </row>
    <row r="485" spans="1:3">
      <c r="A485" s="55" t="s">
        <v>1276</v>
      </c>
      <c r="B485" s="55" t="s">
        <v>1277</v>
      </c>
      <c r="C485" t="s">
        <v>1636</v>
      </c>
    </row>
    <row r="486" spans="1:3">
      <c r="A486" s="55" t="s">
        <v>1276</v>
      </c>
      <c r="B486" s="55" t="s">
        <v>1277</v>
      </c>
      <c r="C486" s="35" t="s">
        <v>1637</v>
      </c>
    </row>
    <row r="487" spans="1:3">
      <c r="A487" s="55" t="s">
        <v>1276</v>
      </c>
      <c r="B487" s="55" t="s">
        <v>1638</v>
      </c>
      <c r="C487" s="35" t="s">
        <v>657</v>
      </c>
    </row>
    <row r="488" spans="1:3">
      <c r="A488" s="55" t="s">
        <v>1276</v>
      </c>
      <c r="B488" s="55" t="s">
        <v>1638</v>
      </c>
      <c r="C488" s="35" t="s">
        <v>571</v>
      </c>
    </row>
    <row r="489" spans="1:3">
      <c r="A489" s="55" t="s">
        <v>1276</v>
      </c>
      <c r="B489" s="55" t="s">
        <v>1638</v>
      </c>
      <c r="C489" s="35" t="s">
        <v>638</v>
      </c>
    </row>
    <row r="490" spans="1:3">
      <c r="A490" s="55" t="s">
        <v>1276</v>
      </c>
      <c r="B490" s="55" t="s">
        <v>1638</v>
      </c>
      <c r="C490" s="35" t="s">
        <v>601</v>
      </c>
    </row>
    <row r="491" spans="1:3">
      <c r="A491" s="55" t="s">
        <v>1276</v>
      </c>
      <c r="B491" s="55" t="s">
        <v>1638</v>
      </c>
      <c r="C491" s="35" t="s">
        <v>1639</v>
      </c>
    </row>
    <row r="492" spans="1:3">
      <c r="A492" s="55" t="s">
        <v>1276</v>
      </c>
      <c r="B492" s="55" t="s">
        <v>1638</v>
      </c>
      <c r="C492" s="35" t="s">
        <v>1640</v>
      </c>
    </row>
    <row r="493" spans="1:3">
      <c r="A493" s="55" t="s">
        <v>1276</v>
      </c>
      <c r="B493" s="55" t="s">
        <v>1638</v>
      </c>
      <c r="C493" s="35" t="s">
        <v>595</v>
      </c>
    </row>
    <row r="494" spans="1:3">
      <c r="A494" s="55" t="s">
        <v>1276</v>
      </c>
      <c r="B494" s="55" t="s">
        <v>1638</v>
      </c>
      <c r="C494" s="35" t="s">
        <v>1641</v>
      </c>
    </row>
    <row r="495" spans="1:3">
      <c r="A495" s="55" t="s">
        <v>1276</v>
      </c>
      <c r="B495" s="55" t="s">
        <v>1638</v>
      </c>
      <c r="C495" s="35" t="s">
        <v>1642</v>
      </c>
    </row>
    <row r="496" spans="1:3">
      <c r="A496" s="55" t="s">
        <v>1276</v>
      </c>
      <c r="B496" s="55" t="s">
        <v>1638</v>
      </c>
      <c r="C496" s="35" t="s">
        <v>618</v>
      </c>
    </row>
    <row r="497" spans="1:3">
      <c r="A497" s="55" t="s">
        <v>1276</v>
      </c>
      <c r="B497" s="55" t="s">
        <v>1638</v>
      </c>
      <c r="C497" s="35" t="s">
        <v>1643</v>
      </c>
    </row>
    <row r="498" spans="1:3">
      <c r="A498" s="55" t="s">
        <v>1276</v>
      </c>
      <c r="B498" s="55" t="s">
        <v>1638</v>
      </c>
      <c r="C498" t="s">
        <v>580</v>
      </c>
    </row>
    <row r="499" spans="1:3">
      <c r="A499" s="55" t="s">
        <v>1276</v>
      </c>
      <c r="B499" s="55" t="s">
        <v>1638</v>
      </c>
      <c r="C499" t="s">
        <v>572</v>
      </c>
    </row>
    <row r="500" spans="1:3">
      <c r="A500" s="55" t="s">
        <v>1276</v>
      </c>
      <c r="B500" s="55" t="s">
        <v>1638</v>
      </c>
      <c r="C500" t="s">
        <v>611</v>
      </c>
    </row>
    <row r="501" spans="1:3">
      <c r="A501" s="55" t="s">
        <v>1276</v>
      </c>
      <c r="B501" s="55" t="s">
        <v>1638</v>
      </c>
      <c r="C501" t="s">
        <v>575</v>
      </c>
    </row>
    <row r="502" spans="1:3">
      <c r="A502" s="55" t="s">
        <v>1276</v>
      </c>
      <c r="B502" s="55" t="s">
        <v>1638</v>
      </c>
      <c r="C502" t="s">
        <v>1644</v>
      </c>
    </row>
    <row r="503" spans="1:3">
      <c r="A503" s="55" t="s">
        <v>1276</v>
      </c>
      <c r="B503" s="55" t="s">
        <v>1638</v>
      </c>
      <c r="C503" t="s">
        <v>1645</v>
      </c>
    </row>
    <row r="504" spans="1:3">
      <c r="A504" s="55" t="s">
        <v>1276</v>
      </c>
      <c r="B504" s="55" t="s">
        <v>1638</v>
      </c>
      <c r="C504" t="s">
        <v>593</v>
      </c>
    </row>
    <row r="505" spans="1:3">
      <c r="A505" s="55" t="s">
        <v>1276</v>
      </c>
      <c r="B505" s="55" t="s">
        <v>1638</v>
      </c>
      <c r="C505" t="s">
        <v>597</v>
      </c>
    </row>
    <row r="506" spans="1:3">
      <c r="A506" s="55" t="s">
        <v>1276</v>
      </c>
      <c r="B506" s="55" t="s">
        <v>1638</v>
      </c>
      <c r="C506" t="s">
        <v>1646</v>
      </c>
    </row>
    <row r="507" spans="1:3">
      <c r="A507" s="55" t="s">
        <v>1276</v>
      </c>
      <c r="B507" s="55" t="s">
        <v>1638</v>
      </c>
      <c r="C507" t="s">
        <v>1647</v>
      </c>
    </row>
    <row r="508" spans="1:3">
      <c r="A508" s="55" t="s">
        <v>1276</v>
      </c>
      <c r="B508" s="55" t="s">
        <v>1638</v>
      </c>
      <c r="C508" t="s">
        <v>1648</v>
      </c>
    </row>
    <row r="509" spans="1:3">
      <c r="A509" s="55" t="s">
        <v>1276</v>
      </c>
      <c r="B509" s="55" t="s">
        <v>1638</v>
      </c>
      <c r="C509" t="s">
        <v>603</v>
      </c>
    </row>
    <row r="510" spans="1:3">
      <c r="A510" s="55" t="s">
        <v>1276</v>
      </c>
      <c r="B510" s="55" t="s">
        <v>1638</v>
      </c>
      <c r="C510" t="s">
        <v>1649</v>
      </c>
    </row>
    <row r="511" spans="1:3">
      <c r="A511" s="55" t="s">
        <v>1276</v>
      </c>
      <c r="B511" s="55" t="s">
        <v>1638</v>
      </c>
      <c r="C511" t="s">
        <v>901</v>
      </c>
    </row>
    <row r="512" spans="1:3">
      <c r="A512" s="55" t="s">
        <v>1276</v>
      </c>
      <c r="B512" s="55" t="s">
        <v>1638</v>
      </c>
      <c r="C512" t="s">
        <v>1650</v>
      </c>
    </row>
    <row r="513" spans="1:3">
      <c r="A513" s="55" t="s">
        <v>1276</v>
      </c>
      <c r="B513" s="55" t="s">
        <v>1638</v>
      </c>
      <c r="C513" t="s">
        <v>1651</v>
      </c>
    </row>
    <row r="514" spans="1:3">
      <c r="A514" s="55" t="s">
        <v>1276</v>
      </c>
      <c r="B514" s="55" t="s">
        <v>1638</v>
      </c>
      <c r="C514" t="s">
        <v>662</v>
      </c>
    </row>
    <row r="515" spans="1:3">
      <c r="A515" s="55" t="s">
        <v>1276</v>
      </c>
      <c r="B515" s="55" t="s">
        <v>1638</v>
      </c>
      <c r="C515" t="s">
        <v>608</v>
      </c>
    </row>
    <row r="516" spans="1:3">
      <c r="A516" s="55" t="s">
        <v>1276</v>
      </c>
      <c r="B516" s="55" t="s">
        <v>1638</v>
      </c>
      <c r="C516" t="s">
        <v>500</v>
      </c>
    </row>
    <row r="517" spans="1:3">
      <c r="A517" s="55" t="s">
        <v>1276</v>
      </c>
      <c r="B517" s="55" t="s">
        <v>1638</v>
      </c>
      <c r="C517" t="s">
        <v>606</v>
      </c>
    </row>
    <row r="518" spans="1:3">
      <c r="A518" s="55" t="s">
        <v>1276</v>
      </c>
      <c r="B518" s="55" t="s">
        <v>1638</v>
      </c>
      <c r="C518" t="s">
        <v>1652</v>
      </c>
    </row>
    <row r="519" spans="1:3">
      <c r="A519" s="55" t="s">
        <v>1276</v>
      </c>
      <c r="B519" s="55" t="s">
        <v>1638</v>
      </c>
      <c r="C519" t="s">
        <v>610</v>
      </c>
    </row>
    <row r="520" spans="1:3">
      <c r="A520" s="55" t="s">
        <v>1276</v>
      </c>
      <c r="B520" s="55" t="s">
        <v>1638</v>
      </c>
      <c r="C520" t="s">
        <v>1653</v>
      </c>
    </row>
    <row r="521" spans="1:3">
      <c r="A521" s="55" t="s">
        <v>1276</v>
      </c>
      <c r="B521" s="55" t="s">
        <v>1638</v>
      </c>
      <c r="C521" t="s">
        <v>1654</v>
      </c>
    </row>
    <row r="522" spans="1:3">
      <c r="A522" s="55" t="s">
        <v>1276</v>
      </c>
      <c r="B522" s="55" t="s">
        <v>1638</v>
      </c>
      <c r="C522" t="s">
        <v>1655</v>
      </c>
    </row>
    <row r="523" spans="1:3">
      <c r="A523" s="55" t="s">
        <v>1276</v>
      </c>
      <c r="B523" s="55" t="s">
        <v>1638</v>
      </c>
      <c r="C523" t="s">
        <v>586</v>
      </c>
    </row>
    <row r="524" spans="1:3">
      <c r="A524" s="55" t="s">
        <v>1276</v>
      </c>
      <c r="B524" s="55" t="s">
        <v>1638</v>
      </c>
      <c r="C524" t="s">
        <v>582</v>
      </c>
    </row>
    <row r="525" spans="1:3">
      <c r="A525" s="55" t="s">
        <v>1276</v>
      </c>
      <c r="B525" s="55" t="s">
        <v>1638</v>
      </c>
      <c r="C525" t="s">
        <v>1656</v>
      </c>
    </row>
    <row r="526" spans="1:3">
      <c r="A526" s="55" t="s">
        <v>1276</v>
      </c>
      <c r="B526" s="55" t="s">
        <v>1638</v>
      </c>
      <c r="C526" t="s">
        <v>581</v>
      </c>
    </row>
    <row r="527" spans="1:3">
      <c r="A527" s="55" t="s">
        <v>1276</v>
      </c>
      <c r="B527" s="55" t="s">
        <v>1638</v>
      </c>
      <c r="C527" t="s">
        <v>585</v>
      </c>
    </row>
    <row r="528" spans="1:3">
      <c r="A528" s="55" t="s">
        <v>1276</v>
      </c>
      <c r="B528" s="55" t="s">
        <v>1638</v>
      </c>
      <c r="C528" t="s">
        <v>573</v>
      </c>
    </row>
    <row r="529" spans="1:3">
      <c r="A529" s="55" t="s">
        <v>1276</v>
      </c>
      <c r="B529" s="55" t="s">
        <v>1638</v>
      </c>
      <c r="C529" t="s">
        <v>1657</v>
      </c>
    </row>
    <row r="530" spans="1:3">
      <c r="A530" s="55" t="s">
        <v>1276</v>
      </c>
      <c r="B530" s="55" t="s">
        <v>1638</v>
      </c>
      <c r="C530" t="s">
        <v>592</v>
      </c>
    </row>
    <row r="531" spans="1:3">
      <c r="A531" s="55" t="s">
        <v>1276</v>
      </c>
      <c r="B531" s="55" t="s">
        <v>1638</v>
      </c>
      <c r="C531" t="s">
        <v>1658</v>
      </c>
    </row>
    <row r="532" spans="1:3">
      <c r="A532" s="55" t="s">
        <v>1276</v>
      </c>
      <c r="B532" s="55" t="s">
        <v>1638</v>
      </c>
      <c r="C532" t="s">
        <v>595</v>
      </c>
    </row>
    <row r="533" spans="1:3">
      <c r="A533" s="55" t="s">
        <v>1276</v>
      </c>
      <c r="B533" s="55" t="s">
        <v>1638</v>
      </c>
      <c r="C533" t="s">
        <v>582</v>
      </c>
    </row>
    <row r="534" spans="1:3">
      <c r="A534" s="55" t="s">
        <v>1276</v>
      </c>
      <c r="B534" s="55" t="s">
        <v>1638</v>
      </c>
      <c r="C534" t="s">
        <v>574</v>
      </c>
    </row>
    <row r="535" spans="1:3">
      <c r="A535" s="55" t="s">
        <v>1276</v>
      </c>
      <c r="B535" s="55" t="s">
        <v>1638</v>
      </c>
      <c r="C535" t="s">
        <v>604</v>
      </c>
    </row>
    <row r="536" spans="1:3">
      <c r="A536" s="55" t="s">
        <v>1276</v>
      </c>
      <c r="B536" s="55" t="s">
        <v>1638</v>
      </c>
      <c r="C536" t="s">
        <v>586</v>
      </c>
    </row>
    <row r="537" spans="1:3">
      <c r="A537" s="55" t="s">
        <v>1276</v>
      </c>
      <c r="B537" s="55" t="s">
        <v>1638</v>
      </c>
      <c r="C537" t="s">
        <v>586</v>
      </c>
    </row>
    <row r="538" spans="1:3">
      <c r="A538" s="55" t="s">
        <v>1276</v>
      </c>
      <c r="B538" s="55" t="s">
        <v>1638</v>
      </c>
      <c r="C538" t="s">
        <v>1656</v>
      </c>
    </row>
    <row r="539" spans="1:3">
      <c r="A539" s="55" t="s">
        <v>1276</v>
      </c>
      <c r="B539" s="55" t="s">
        <v>1638</v>
      </c>
      <c r="C539" t="s">
        <v>589</v>
      </c>
    </row>
    <row r="540" spans="1:3">
      <c r="A540" s="55" t="s">
        <v>1276</v>
      </c>
      <c r="B540" s="55" t="s">
        <v>1638</v>
      </c>
      <c r="C540" t="s">
        <v>588</v>
      </c>
    </row>
    <row r="541" spans="1:3">
      <c r="A541" s="55" t="s">
        <v>1276</v>
      </c>
      <c r="B541" s="55" t="s">
        <v>1638</v>
      </c>
      <c r="C541" t="s">
        <v>598</v>
      </c>
    </row>
    <row r="542" spans="1:3">
      <c r="A542" s="55" t="s">
        <v>1276</v>
      </c>
      <c r="B542" s="55" t="s">
        <v>1638</v>
      </c>
      <c r="C542" t="s">
        <v>576</v>
      </c>
    </row>
    <row r="543" spans="1:3">
      <c r="A543" s="55" t="s">
        <v>1276</v>
      </c>
      <c r="B543" s="55" t="s">
        <v>1638</v>
      </c>
      <c r="C543" t="s">
        <v>599</v>
      </c>
    </row>
    <row r="544" spans="1:3">
      <c r="A544" s="55" t="s">
        <v>1276</v>
      </c>
      <c r="B544" s="55" t="s">
        <v>1638</v>
      </c>
      <c r="C544" t="s">
        <v>590</v>
      </c>
    </row>
    <row r="545" spans="1:3">
      <c r="A545" s="55" t="s">
        <v>1276</v>
      </c>
      <c r="B545" s="55" t="s">
        <v>1638</v>
      </c>
      <c r="C545" t="s">
        <v>1659</v>
      </c>
    </row>
    <row r="546" spans="1:3">
      <c r="A546" t="s">
        <v>1442</v>
      </c>
      <c r="B546" t="s">
        <v>1527</v>
      </c>
      <c r="C546" s="35" t="s">
        <v>202</v>
      </c>
    </row>
    <row r="547" spans="1:3">
      <c r="A547" t="s">
        <v>1442</v>
      </c>
      <c r="B547" t="s">
        <v>1527</v>
      </c>
      <c r="C547" t="s">
        <v>1660</v>
      </c>
    </row>
    <row r="548" spans="1:3">
      <c r="A548" t="s">
        <v>1442</v>
      </c>
      <c r="B548" t="s">
        <v>1527</v>
      </c>
      <c r="C548" t="s">
        <v>542</v>
      </c>
    </row>
    <row r="549" spans="1:3">
      <c r="A549" t="s">
        <v>1442</v>
      </c>
      <c r="B549" t="s">
        <v>1527</v>
      </c>
      <c r="C549" t="s">
        <v>543</v>
      </c>
    </row>
    <row r="550" spans="1:3">
      <c r="A550" t="s">
        <v>1442</v>
      </c>
      <c r="B550" t="s">
        <v>1527</v>
      </c>
      <c r="C550" t="s">
        <v>544</v>
      </c>
    </row>
    <row r="551" spans="1:3">
      <c r="A551" t="s">
        <v>1442</v>
      </c>
      <c r="B551" t="s">
        <v>1527</v>
      </c>
      <c r="C551" t="s">
        <v>540</v>
      </c>
    </row>
    <row r="552" spans="1:3">
      <c r="A552" t="s">
        <v>1442</v>
      </c>
      <c r="B552" t="s">
        <v>1527</v>
      </c>
      <c r="C552" t="s">
        <v>538</v>
      </c>
    </row>
    <row r="553" spans="1:3">
      <c r="A553" t="s">
        <v>1442</v>
      </c>
      <c r="B553" t="s">
        <v>1527</v>
      </c>
      <c r="C553" t="s">
        <v>539</v>
      </c>
    </row>
    <row r="554" spans="1:3">
      <c r="A554" t="s">
        <v>1442</v>
      </c>
      <c r="B554" t="s">
        <v>1527</v>
      </c>
      <c r="C554" t="s">
        <v>527</v>
      </c>
    </row>
    <row r="555" spans="1:3">
      <c r="A555" t="s">
        <v>1442</v>
      </c>
      <c r="B555" t="s">
        <v>1527</v>
      </c>
      <c r="C555" s="35" t="s">
        <v>541</v>
      </c>
    </row>
    <row r="556" spans="1:3">
      <c r="A556" t="s">
        <v>1442</v>
      </c>
      <c r="B556" t="s">
        <v>1527</v>
      </c>
      <c r="C556" t="s">
        <v>545</v>
      </c>
    </row>
    <row r="557" spans="1:3">
      <c r="A557" t="s">
        <v>1442</v>
      </c>
      <c r="B557" t="s">
        <v>1527</v>
      </c>
      <c r="C557" s="35" t="s">
        <v>537</v>
      </c>
    </row>
    <row r="558" spans="1:3">
      <c r="A558" t="s">
        <v>1442</v>
      </c>
      <c r="B558" t="s">
        <v>1527</v>
      </c>
      <c r="C558" t="s">
        <v>548</v>
      </c>
    </row>
    <row r="559" spans="1:3">
      <c r="A559" t="s">
        <v>1442</v>
      </c>
      <c r="B559" t="s">
        <v>1527</v>
      </c>
      <c r="C559" t="s">
        <v>587</v>
      </c>
    </row>
    <row r="560" spans="1:3">
      <c r="A560" t="s">
        <v>1442</v>
      </c>
      <c r="B560" t="s">
        <v>1527</v>
      </c>
      <c r="C560" t="s">
        <v>546</v>
      </c>
    </row>
    <row r="561" spans="1:3">
      <c r="A561" t="s">
        <v>1442</v>
      </c>
      <c r="B561" t="s">
        <v>1527</v>
      </c>
      <c r="C561" t="s">
        <v>547</v>
      </c>
    </row>
    <row r="562" spans="1:3">
      <c r="A562" t="s">
        <v>1442</v>
      </c>
      <c r="B562" t="s">
        <v>1527</v>
      </c>
      <c r="C562" t="s">
        <v>1661</v>
      </c>
    </row>
    <row r="563" spans="1:3">
      <c r="A563" t="s">
        <v>1442</v>
      </c>
      <c r="B563" t="s">
        <v>1527</v>
      </c>
      <c r="C563" s="35" t="s">
        <v>1662</v>
      </c>
    </row>
    <row r="564" spans="1:3">
      <c r="A564" t="s">
        <v>1442</v>
      </c>
      <c r="B564" t="s">
        <v>1527</v>
      </c>
      <c r="C564" t="s">
        <v>1663</v>
      </c>
    </row>
    <row r="565" spans="1:3">
      <c r="A565" t="s">
        <v>1442</v>
      </c>
      <c r="B565" t="s">
        <v>1527</v>
      </c>
      <c r="C565" t="s">
        <v>1664</v>
      </c>
    </row>
    <row r="566" spans="1:3">
      <c r="A566" t="s">
        <v>1442</v>
      </c>
      <c r="B566" t="s">
        <v>1527</v>
      </c>
      <c r="C566" t="s">
        <v>1665</v>
      </c>
    </row>
    <row r="567" spans="1:3">
      <c r="A567" t="s">
        <v>1442</v>
      </c>
      <c r="B567" t="s">
        <v>1527</v>
      </c>
      <c r="C567" t="s">
        <v>1666</v>
      </c>
    </row>
    <row r="568" spans="1:3">
      <c r="A568" t="s">
        <v>1442</v>
      </c>
      <c r="B568" t="s">
        <v>1527</v>
      </c>
      <c r="C568" t="s">
        <v>1667</v>
      </c>
    </row>
    <row r="569" spans="1:3">
      <c r="A569" t="s">
        <v>1442</v>
      </c>
      <c r="B569" t="s">
        <v>1527</v>
      </c>
      <c r="C569" t="s">
        <v>1668</v>
      </c>
    </row>
    <row r="570" spans="1:3">
      <c r="A570" t="s">
        <v>1442</v>
      </c>
      <c r="B570" t="s">
        <v>1527</v>
      </c>
      <c r="C570" t="s">
        <v>1669</v>
      </c>
    </row>
    <row r="571" spans="1:3">
      <c r="A571" t="s">
        <v>1442</v>
      </c>
      <c r="B571" t="s">
        <v>1527</v>
      </c>
      <c r="C571" t="s">
        <v>1670</v>
      </c>
    </row>
    <row r="572" spans="1:3">
      <c r="A572" t="s">
        <v>1442</v>
      </c>
      <c r="B572" t="s">
        <v>1527</v>
      </c>
      <c r="C572" t="s">
        <v>1671</v>
      </c>
    </row>
    <row r="573" spans="1:3">
      <c r="A573" t="s">
        <v>1442</v>
      </c>
      <c r="B573" t="s">
        <v>1527</v>
      </c>
      <c r="C573" t="s">
        <v>1672</v>
      </c>
    </row>
    <row r="574" spans="1:3">
      <c r="A574" t="s">
        <v>1442</v>
      </c>
      <c r="B574" t="s">
        <v>1527</v>
      </c>
      <c r="C574" t="s">
        <v>1673</v>
      </c>
    </row>
    <row r="575" spans="1:3">
      <c r="A575" t="s">
        <v>1442</v>
      </c>
      <c r="B575" t="s">
        <v>1527</v>
      </c>
      <c r="C575" s="35" t="s">
        <v>1674</v>
      </c>
    </row>
    <row r="576" spans="1:3">
      <c r="A576" t="s">
        <v>1442</v>
      </c>
      <c r="B576" t="s">
        <v>1527</v>
      </c>
      <c r="C576" t="s">
        <v>1675</v>
      </c>
    </row>
    <row r="577" spans="1:3">
      <c r="A577" t="s">
        <v>1442</v>
      </c>
      <c r="B577" t="s">
        <v>1527</v>
      </c>
      <c r="C577" t="s">
        <v>1676</v>
      </c>
    </row>
    <row r="578" spans="1:3">
      <c r="A578" t="s">
        <v>1442</v>
      </c>
      <c r="B578" t="s">
        <v>1527</v>
      </c>
      <c r="C578" t="s">
        <v>1677</v>
      </c>
    </row>
    <row r="579" spans="1:3">
      <c r="A579" t="s">
        <v>1442</v>
      </c>
      <c r="B579" t="s">
        <v>1527</v>
      </c>
      <c r="C579" s="35" t="s">
        <v>1678</v>
      </c>
    </row>
    <row r="580" spans="1:3">
      <c r="A580" t="s">
        <v>1442</v>
      </c>
      <c r="B580" t="s">
        <v>1527</v>
      </c>
      <c r="C580" t="s">
        <v>1679</v>
      </c>
    </row>
    <row r="581" spans="1:3">
      <c r="A581" t="s">
        <v>1442</v>
      </c>
      <c r="B581" t="s">
        <v>1527</v>
      </c>
      <c r="C581" t="s">
        <v>1680</v>
      </c>
    </row>
    <row r="582" spans="1:3">
      <c r="A582" t="s">
        <v>1442</v>
      </c>
      <c r="B582" t="s">
        <v>1527</v>
      </c>
      <c r="C582" t="s">
        <v>1681</v>
      </c>
    </row>
    <row r="583" spans="1:3">
      <c r="A583" t="s">
        <v>1442</v>
      </c>
      <c r="B583" t="s">
        <v>1527</v>
      </c>
      <c r="C583" t="s">
        <v>1682</v>
      </c>
    </row>
    <row r="584" spans="1:3">
      <c r="A584" t="s">
        <v>1442</v>
      </c>
      <c r="B584" t="s">
        <v>1527</v>
      </c>
      <c r="C584" t="s">
        <v>1678</v>
      </c>
    </row>
    <row r="585" spans="1:3">
      <c r="A585" t="s">
        <v>1442</v>
      </c>
      <c r="B585" t="s">
        <v>1527</v>
      </c>
      <c r="C585" s="35" t="s">
        <v>1683</v>
      </c>
    </row>
    <row r="586" spans="1:3">
      <c r="A586" t="s">
        <v>1442</v>
      </c>
      <c r="B586" t="s">
        <v>1527</v>
      </c>
      <c r="C586" t="s">
        <v>1684</v>
      </c>
    </row>
    <row r="587" spans="1:3">
      <c r="A587" t="s">
        <v>1442</v>
      </c>
      <c r="B587" t="s">
        <v>1527</v>
      </c>
      <c r="C587" s="35" t="s">
        <v>1685</v>
      </c>
    </row>
    <row r="588" spans="1:3">
      <c r="A588" t="s">
        <v>1442</v>
      </c>
      <c r="B588" t="s">
        <v>1527</v>
      </c>
      <c r="C588" t="s">
        <v>1686</v>
      </c>
    </row>
    <row r="589" spans="1:3">
      <c r="A589" t="s">
        <v>1442</v>
      </c>
      <c r="B589" t="s">
        <v>1527</v>
      </c>
      <c r="C589" t="s">
        <v>553</v>
      </c>
    </row>
    <row r="590" spans="1:3">
      <c r="A590" t="s">
        <v>1442</v>
      </c>
      <c r="B590" t="s">
        <v>1527</v>
      </c>
      <c r="C590" t="s">
        <v>1687</v>
      </c>
    </row>
    <row r="591" spans="1:3">
      <c r="A591" t="s">
        <v>1442</v>
      </c>
      <c r="B591" t="s">
        <v>1527</v>
      </c>
      <c r="C591" t="s">
        <v>1688</v>
      </c>
    </row>
    <row r="592" spans="1:3">
      <c r="A592" t="s">
        <v>1442</v>
      </c>
      <c r="B592" t="s">
        <v>1527</v>
      </c>
      <c r="C592" t="s">
        <v>511</v>
      </c>
    </row>
    <row r="593" spans="1:3">
      <c r="A593" t="s">
        <v>1442</v>
      </c>
      <c r="B593" t="s">
        <v>1527</v>
      </c>
      <c r="C593" t="s">
        <v>1689</v>
      </c>
    </row>
    <row r="594" spans="1:3">
      <c r="A594" t="s">
        <v>1442</v>
      </c>
      <c r="B594" t="s">
        <v>1527</v>
      </c>
      <c r="C594" t="s">
        <v>1690</v>
      </c>
    </row>
    <row r="595" spans="1:3">
      <c r="A595" t="s">
        <v>1442</v>
      </c>
      <c r="B595" t="s">
        <v>1527</v>
      </c>
      <c r="C595" t="s">
        <v>512</v>
      </c>
    </row>
    <row r="596" spans="1:3">
      <c r="A596" t="s">
        <v>1442</v>
      </c>
      <c r="B596" t="s">
        <v>1527</v>
      </c>
      <c r="C596" t="s">
        <v>1691</v>
      </c>
    </row>
    <row r="597" spans="1:3">
      <c r="A597" t="s">
        <v>1442</v>
      </c>
      <c r="B597" t="s">
        <v>1443</v>
      </c>
      <c r="C597" s="35" t="s">
        <v>1469</v>
      </c>
    </row>
    <row r="598" spans="1:3">
      <c r="A598" t="s">
        <v>1442</v>
      </c>
      <c r="B598" t="s">
        <v>1443</v>
      </c>
      <c r="C598" t="s">
        <v>528</v>
      </c>
    </row>
    <row r="599" spans="1:3">
      <c r="A599" t="s">
        <v>1442</v>
      </c>
      <c r="B599" t="s">
        <v>1443</v>
      </c>
      <c r="C599" t="s">
        <v>1470</v>
      </c>
    </row>
    <row r="600" spans="1:3">
      <c r="A600" t="s">
        <v>1442</v>
      </c>
      <c r="B600" t="s">
        <v>1443</v>
      </c>
      <c r="C600" t="s">
        <v>1692</v>
      </c>
    </row>
    <row r="601" spans="1:3">
      <c r="A601" t="s">
        <v>1442</v>
      </c>
      <c r="B601" t="s">
        <v>1443</v>
      </c>
      <c r="C601" t="s">
        <v>559</v>
      </c>
    </row>
    <row r="602" spans="1:3">
      <c r="A602" t="s">
        <v>1442</v>
      </c>
      <c r="B602" t="s">
        <v>1443</v>
      </c>
      <c r="C602" t="s">
        <v>504</v>
      </c>
    </row>
    <row r="603" spans="1:3">
      <c r="A603" t="s">
        <v>1442</v>
      </c>
      <c r="B603" t="s">
        <v>1443</v>
      </c>
      <c r="C603" t="s">
        <v>499</v>
      </c>
    </row>
    <row r="604" spans="1:3">
      <c r="A604" t="s">
        <v>1442</v>
      </c>
      <c r="B604" t="s">
        <v>1443</v>
      </c>
      <c r="C604" t="s">
        <v>1693</v>
      </c>
    </row>
    <row r="605" spans="1:3">
      <c r="A605" t="s">
        <v>1442</v>
      </c>
      <c r="B605" t="s">
        <v>1443</v>
      </c>
      <c r="C605" t="s">
        <v>1694</v>
      </c>
    </row>
    <row r="606" spans="1:3">
      <c r="A606" t="s">
        <v>1442</v>
      </c>
      <c r="B606" t="s">
        <v>1443</v>
      </c>
      <c r="C606" t="s">
        <v>1695</v>
      </c>
    </row>
    <row r="607" spans="1:3">
      <c r="A607" t="s">
        <v>1442</v>
      </c>
      <c r="B607" t="s">
        <v>1443</v>
      </c>
      <c r="C607" t="s">
        <v>566</v>
      </c>
    </row>
    <row r="608" spans="1:3">
      <c r="A608" t="s">
        <v>1442</v>
      </c>
      <c r="B608" t="s">
        <v>1443</v>
      </c>
      <c r="C608" s="35" t="s">
        <v>529</v>
      </c>
    </row>
    <row r="609" spans="1:3">
      <c r="A609" t="s">
        <v>1442</v>
      </c>
      <c r="B609" t="s">
        <v>1443</v>
      </c>
      <c r="C609" t="s">
        <v>1696</v>
      </c>
    </row>
    <row r="610" spans="1:3">
      <c r="A610" t="s">
        <v>1442</v>
      </c>
      <c r="B610" t="s">
        <v>1443</v>
      </c>
      <c r="C610" t="s">
        <v>1697</v>
      </c>
    </row>
    <row r="611" spans="1:3">
      <c r="A611" t="s">
        <v>1442</v>
      </c>
      <c r="B611" t="s">
        <v>1443</v>
      </c>
      <c r="C611" t="s">
        <v>1698</v>
      </c>
    </row>
    <row r="612" spans="1:3">
      <c r="A612" t="s">
        <v>1442</v>
      </c>
      <c r="B612" t="s">
        <v>1443</v>
      </c>
      <c r="C612" t="s">
        <v>1699</v>
      </c>
    </row>
    <row r="613" spans="1:3">
      <c r="A613" t="s">
        <v>1442</v>
      </c>
      <c r="B613" t="s">
        <v>1443</v>
      </c>
      <c r="C613" t="s">
        <v>535</v>
      </c>
    </row>
    <row r="614" spans="1:3">
      <c r="A614" t="s">
        <v>1442</v>
      </c>
      <c r="B614" t="s">
        <v>1443</v>
      </c>
      <c r="C614" t="s">
        <v>1700</v>
      </c>
    </row>
    <row r="615" spans="1:3">
      <c r="A615" t="s">
        <v>1442</v>
      </c>
      <c r="B615" t="s">
        <v>1443</v>
      </c>
      <c r="C615" t="s">
        <v>1701</v>
      </c>
    </row>
    <row r="616" spans="1:3">
      <c r="A616" t="s">
        <v>1442</v>
      </c>
      <c r="B616" t="s">
        <v>1443</v>
      </c>
      <c r="C616" t="s">
        <v>1702</v>
      </c>
    </row>
    <row r="617" spans="1:3">
      <c r="A617" t="s">
        <v>1442</v>
      </c>
      <c r="B617" t="s">
        <v>1443</v>
      </c>
      <c r="C617" s="35" t="s">
        <v>1487</v>
      </c>
    </row>
    <row r="618" spans="1:3">
      <c r="A618" t="s">
        <v>1442</v>
      </c>
      <c r="B618" t="s">
        <v>1443</v>
      </c>
      <c r="C618" t="s">
        <v>1703</v>
      </c>
    </row>
    <row r="619" spans="1:3">
      <c r="A619" t="s">
        <v>1442</v>
      </c>
      <c r="B619" t="s">
        <v>1443</v>
      </c>
      <c r="C619" t="s">
        <v>1704</v>
      </c>
    </row>
    <row r="620" spans="1:3">
      <c r="A620" t="s">
        <v>1442</v>
      </c>
      <c r="B620" t="s">
        <v>1443</v>
      </c>
      <c r="C620" t="s">
        <v>1705</v>
      </c>
    </row>
    <row r="621" spans="1:3">
      <c r="A621" t="s">
        <v>1442</v>
      </c>
      <c r="B621" t="s">
        <v>1443</v>
      </c>
      <c r="C621" t="s">
        <v>1706</v>
      </c>
    </row>
    <row r="622" spans="1:3">
      <c r="A622" t="s">
        <v>1442</v>
      </c>
      <c r="B622" t="s">
        <v>1443</v>
      </c>
      <c r="C622" s="35" t="s">
        <v>1492</v>
      </c>
    </row>
    <row r="623" spans="1:3">
      <c r="A623" t="s">
        <v>1442</v>
      </c>
      <c r="B623" t="s">
        <v>1443</v>
      </c>
      <c r="C623" t="s">
        <v>1707</v>
      </c>
    </row>
    <row r="624" spans="1:3">
      <c r="A624" t="s">
        <v>1442</v>
      </c>
      <c r="B624" t="s">
        <v>1443</v>
      </c>
      <c r="C624" t="s">
        <v>536</v>
      </c>
    </row>
    <row r="625" spans="1:3">
      <c r="A625" t="s">
        <v>1442</v>
      </c>
      <c r="B625" t="s">
        <v>1443</v>
      </c>
      <c r="C625" s="35" t="s">
        <v>513</v>
      </c>
    </row>
    <row r="626" spans="1:3">
      <c r="A626" t="s">
        <v>1442</v>
      </c>
      <c r="B626" t="s">
        <v>1443</v>
      </c>
      <c r="C626" t="s">
        <v>1708</v>
      </c>
    </row>
    <row r="627" spans="1:3">
      <c r="A627" t="s">
        <v>1442</v>
      </c>
      <c r="B627" t="s">
        <v>1443</v>
      </c>
      <c r="C627" t="s">
        <v>1709</v>
      </c>
    </row>
    <row r="628" spans="1:3">
      <c r="A628" t="s">
        <v>1442</v>
      </c>
      <c r="B628" t="s">
        <v>1443</v>
      </c>
      <c r="C628" t="s">
        <v>675</v>
      </c>
    </row>
    <row r="629" spans="1:3">
      <c r="A629" t="s">
        <v>1442</v>
      </c>
      <c r="B629" t="s">
        <v>1443</v>
      </c>
      <c r="C629" t="s">
        <v>1710</v>
      </c>
    </row>
    <row r="630" spans="1:3">
      <c r="A630" t="s">
        <v>1442</v>
      </c>
      <c r="B630" t="s">
        <v>1443</v>
      </c>
      <c r="C630" t="s">
        <v>1711</v>
      </c>
    </row>
    <row r="631" spans="1:3">
      <c r="A631" t="s">
        <v>1442</v>
      </c>
      <c r="B631" t="s">
        <v>1443</v>
      </c>
      <c r="C631" t="s">
        <v>1712</v>
      </c>
    </row>
    <row r="632" spans="1:3">
      <c r="A632" t="s">
        <v>1442</v>
      </c>
      <c r="B632" t="s">
        <v>1443</v>
      </c>
      <c r="C632" t="s">
        <v>1713</v>
      </c>
    </row>
    <row r="633" spans="1:3">
      <c r="A633" t="s">
        <v>1442</v>
      </c>
      <c r="B633" t="s">
        <v>1443</v>
      </c>
      <c r="C633" t="s">
        <v>1714</v>
      </c>
    </row>
    <row r="634" spans="1:3">
      <c r="A634" s="55" t="s">
        <v>1276</v>
      </c>
      <c r="B634" s="55" t="s">
        <v>1339</v>
      </c>
      <c r="C634" t="s">
        <v>441</v>
      </c>
    </row>
    <row r="635" spans="1:3">
      <c r="A635" s="55" t="s">
        <v>1276</v>
      </c>
      <c r="B635" s="55" t="s">
        <v>1339</v>
      </c>
      <c r="C635" t="s">
        <v>468</v>
      </c>
    </row>
    <row r="636" spans="1:3">
      <c r="A636" s="55" t="s">
        <v>1276</v>
      </c>
      <c r="B636" s="55" t="s">
        <v>1339</v>
      </c>
      <c r="C636" t="s">
        <v>469</v>
      </c>
    </row>
    <row r="637" spans="1:3">
      <c r="A637" s="55" t="s">
        <v>1276</v>
      </c>
      <c r="B637" s="55" t="s">
        <v>1339</v>
      </c>
      <c r="C637" t="s">
        <v>470</v>
      </c>
    </row>
    <row r="638" spans="1:3">
      <c r="A638" s="55" t="s">
        <v>1276</v>
      </c>
      <c r="B638" s="55" t="s">
        <v>1339</v>
      </c>
      <c r="C638" t="s">
        <v>471</v>
      </c>
    </row>
    <row r="639" spans="1:3">
      <c r="A639" s="55" t="s">
        <v>1276</v>
      </c>
      <c r="B639" s="55" t="s">
        <v>1339</v>
      </c>
      <c r="C639" t="s">
        <v>472</v>
      </c>
    </row>
    <row r="640" spans="1:3">
      <c r="A640" s="55" t="s">
        <v>1276</v>
      </c>
      <c r="B640" s="55" t="s">
        <v>1339</v>
      </c>
      <c r="C640" t="s">
        <v>473</v>
      </c>
    </row>
    <row r="641" spans="1:3">
      <c r="A641" s="55" t="s">
        <v>1276</v>
      </c>
      <c r="B641" s="55" t="s">
        <v>1339</v>
      </c>
      <c r="C641" t="s">
        <v>1715</v>
      </c>
    </row>
    <row r="642" spans="1:3">
      <c r="A642" s="55" t="s">
        <v>1276</v>
      </c>
      <c r="B642" s="55" t="s">
        <v>1339</v>
      </c>
      <c r="C642" t="s">
        <v>474</v>
      </c>
    </row>
    <row r="643" spans="1:3">
      <c r="A643" s="55" t="s">
        <v>1276</v>
      </c>
      <c r="B643" s="55" t="s">
        <v>1339</v>
      </c>
      <c r="C643" t="s">
        <v>1716</v>
      </c>
    </row>
    <row r="644" spans="1:3">
      <c r="A644" s="55" t="s">
        <v>1276</v>
      </c>
      <c r="B644" s="55" t="s">
        <v>1339</v>
      </c>
      <c r="C644" t="s">
        <v>1717</v>
      </c>
    </row>
    <row r="645" spans="1:3">
      <c r="A645" s="55" t="s">
        <v>1276</v>
      </c>
      <c r="B645" s="55" t="s">
        <v>1339</v>
      </c>
      <c r="C645" t="s">
        <v>1718</v>
      </c>
    </row>
    <row r="646" spans="1:3">
      <c r="A646" s="55" t="s">
        <v>1276</v>
      </c>
      <c r="B646" s="55" t="s">
        <v>1339</v>
      </c>
      <c r="C646" t="s">
        <v>475</v>
      </c>
    </row>
    <row r="647" spans="1:3">
      <c r="A647" s="55" t="s">
        <v>1276</v>
      </c>
      <c r="B647" s="55" t="s">
        <v>1339</v>
      </c>
      <c r="C647" t="s">
        <v>445</v>
      </c>
    </row>
    <row r="648" spans="1:3">
      <c r="A648" s="55" t="s">
        <v>1276</v>
      </c>
      <c r="B648" s="55" t="s">
        <v>1339</v>
      </c>
      <c r="C648" t="s">
        <v>446</v>
      </c>
    </row>
    <row r="649" spans="1:3">
      <c r="A649" s="55" t="s">
        <v>1276</v>
      </c>
      <c r="B649" s="55" t="s">
        <v>1339</v>
      </c>
      <c r="C649" t="s">
        <v>476</v>
      </c>
    </row>
    <row r="650" spans="1:3">
      <c r="A650" s="55" t="s">
        <v>1276</v>
      </c>
      <c r="B650" s="55" t="s">
        <v>1339</v>
      </c>
      <c r="C650" t="s">
        <v>477</v>
      </c>
    </row>
    <row r="651" spans="1:3">
      <c r="A651" s="55" t="s">
        <v>1276</v>
      </c>
      <c r="B651" s="55" t="s">
        <v>1339</v>
      </c>
      <c r="C651" t="s">
        <v>442</v>
      </c>
    </row>
    <row r="652" spans="1:3">
      <c r="A652" s="55" t="s">
        <v>1276</v>
      </c>
      <c r="B652" s="55" t="s">
        <v>1339</v>
      </c>
      <c r="C652" t="s">
        <v>478</v>
      </c>
    </row>
    <row r="653" spans="1:3">
      <c r="A653" s="55" t="s">
        <v>1276</v>
      </c>
      <c r="B653" s="55" t="s">
        <v>1339</v>
      </c>
      <c r="C653" t="s">
        <v>479</v>
      </c>
    </row>
    <row r="654" spans="1:3">
      <c r="A654" s="55" t="s">
        <v>1276</v>
      </c>
      <c r="B654" s="55" t="s">
        <v>1339</v>
      </c>
      <c r="C654" t="s">
        <v>465</v>
      </c>
    </row>
    <row r="655" spans="1:3">
      <c r="A655" s="55" t="s">
        <v>1276</v>
      </c>
      <c r="B655" s="55" t="s">
        <v>1339</v>
      </c>
      <c r="C655" t="s">
        <v>466</v>
      </c>
    </row>
    <row r="656" spans="1:3">
      <c r="A656" s="55" t="s">
        <v>1276</v>
      </c>
      <c r="B656" s="55" t="s">
        <v>1339</v>
      </c>
      <c r="C656" t="s">
        <v>480</v>
      </c>
    </row>
    <row r="657" spans="1:3">
      <c r="A657" s="55" t="s">
        <v>1276</v>
      </c>
      <c r="B657" s="55" t="s">
        <v>1339</v>
      </c>
      <c r="C657" t="s">
        <v>455</v>
      </c>
    </row>
    <row r="658" spans="1:3">
      <c r="A658" s="55" t="s">
        <v>1276</v>
      </c>
      <c r="B658" s="55" t="s">
        <v>1339</v>
      </c>
      <c r="C658" t="s">
        <v>456</v>
      </c>
    </row>
    <row r="659" spans="1:3">
      <c r="A659" s="55" t="s">
        <v>1276</v>
      </c>
      <c r="B659" s="55" t="s">
        <v>1339</v>
      </c>
      <c r="C659" t="s">
        <v>457</v>
      </c>
    </row>
    <row r="660" spans="1:3">
      <c r="A660" s="55" t="s">
        <v>1276</v>
      </c>
      <c r="B660" s="55" t="s">
        <v>1339</v>
      </c>
      <c r="C660" t="s">
        <v>458</v>
      </c>
    </row>
    <row r="661" spans="1:3">
      <c r="A661" s="55" t="s">
        <v>1276</v>
      </c>
      <c r="B661" s="55" t="s">
        <v>1339</v>
      </c>
      <c r="C661" t="s">
        <v>459</v>
      </c>
    </row>
    <row r="662" spans="1:3">
      <c r="A662" s="55" t="s">
        <v>1276</v>
      </c>
      <c r="B662" s="55" t="s">
        <v>1339</v>
      </c>
      <c r="C662" t="s">
        <v>1719</v>
      </c>
    </row>
    <row r="663" spans="1:3">
      <c r="A663" s="55" t="s">
        <v>1276</v>
      </c>
      <c r="B663" s="55" t="s">
        <v>1339</v>
      </c>
      <c r="C663" s="60" t="s">
        <v>1720</v>
      </c>
    </row>
    <row r="664" spans="1:3">
      <c r="A664" s="55" t="s">
        <v>1276</v>
      </c>
      <c r="B664" s="55" t="s">
        <v>1339</v>
      </c>
      <c r="C664" t="s">
        <v>461</v>
      </c>
    </row>
    <row r="665" spans="1:3">
      <c r="A665" s="55" t="s">
        <v>1276</v>
      </c>
      <c r="B665" s="55" t="s">
        <v>1339</v>
      </c>
      <c r="C665" t="s">
        <v>462</v>
      </c>
    </row>
    <row r="666" spans="1:3">
      <c r="A666" s="55" t="s">
        <v>1276</v>
      </c>
      <c r="B666" s="55" t="s">
        <v>1339</v>
      </c>
      <c r="C666" t="s">
        <v>463</v>
      </c>
    </row>
    <row r="667" spans="1:3">
      <c r="A667" s="55" t="s">
        <v>1276</v>
      </c>
      <c r="B667" s="55" t="s">
        <v>1339</v>
      </c>
      <c r="C667" t="s">
        <v>481</v>
      </c>
    </row>
    <row r="668" spans="1:3">
      <c r="A668" s="55" t="s">
        <v>1276</v>
      </c>
      <c r="B668" s="55" t="s">
        <v>1339</v>
      </c>
      <c r="C668" t="s">
        <v>464</v>
      </c>
    </row>
    <row r="669" spans="1:3">
      <c r="A669" s="55" t="s">
        <v>1276</v>
      </c>
      <c r="B669" s="55" t="s">
        <v>1339</v>
      </c>
      <c r="C669" t="s">
        <v>467</v>
      </c>
    </row>
    <row r="670" spans="1:3">
      <c r="A670" s="55" t="s">
        <v>1276</v>
      </c>
      <c r="B670" s="55" t="s">
        <v>1339</v>
      </c>
      <c r="C670" t="s">
        <v>482</v>
      </c>
    </row>
    <row r="671" spans="1:3">
      <c r="A671" s="55" t="s">
        <v>1276</v>
      </c>
      <c r="B671" s="55" t="s">
        <v>1339</v>
      </c>
      <c r="C671" t="s">
        <v>454</v>
      </c>
    </row>
    <row r="672" spans="1:3">
      <c r="A672" s="55" t="s">
        <v>1276</v>
      </c>
      <c r="B672" s="55" t="s">
        <v>1339</v>
      </c>
      <c r="C672" t="s">
        <v>483</v>
      </c>
    </row>
    <row r="673" spans="1:3">
      <c r="A673" s="55" t="s">
        <v>1276</v>
      </c>
      <c r="B673" s="55" t="s">
        <v>1339</v>
      </c>
      <c r="C673" t="s">
        <v>484</v>
      </c>
    </row>
    <row r="674" spans="1:3">
      <c r="A674" s="55" t="s">
        <v>1276</v>
      </c>
      <c r="B674" s="55" t="s">
        <v>1339</v>
      </c>
      <c r="C674" t="s">
        <v>485</v>
      </c>
    </row>
    <row r="675" spans="1:3">
      <c r="A675" s="55" t="s">
        <v>1276</v>
      </c>
      <c r="B675" s="55" t="s">
        <v>1339</v>
      </c>
      <c r="C675" t="s">
        <v>447</v>
      </c>
    </row>
    <row r="676" spans="1:3">
      <c r="A676" s="55" t="s">
        <v>1276</v>
      </c>
      <c r="B676" s="55" t="s">
        <v>1339</v>
      </c>
      <c r="C676" t="s">
        <v>444</v>
      </c>
    </row>
    <row r="677" spans="1:3">
      <c r="A677" s="55" t="s">
        <v>1276</v>
      </c>
      <c r="B677" s="55" t="s">
        <v>1339</v>
      </c>
      <c r="C677" t="s">
        <v>449</v>
      </c>
    </row>
    <row r="678" spans="1:3">
      <c r="A678" s="55" t="s">
        <v>1276</v>
      </c>
      <c r="B678" s="55" t="s">
        <v>1339</v>
      </c>
      <c r="C678" t="s">
        <v>486</v>
      </c>
    </row>
    <row r="679" spans="1:3">
      <c r="A679" s="55" t="s">
        <v>1276</v>
      </c>
      <c r="B679" s="55" t="s">
        <v>1339</v>
      </c>
      <c r="C679" t="s">
        <v>452</v>
      </c>
    </row>
    <row r="680" spans="1:3">
      <c r="A680" s="55" t="s">
        <v>1276</v>
      </c>
      <c r="B680" s="55" t="s">
        <v>1339</v>
      </c>
      <c r="C680" t="s">
        <v>487</v>
      </c>
    </row>
    <row r="681" spans="1:3">
      <c r="A681" s="55" t="s">
        <v>1276</v>
      </c>
      <c r="B681" s="55" t="s">
        <v>1339</v>
      </c>
      <c r="C681" t="s">
        <v>450</v>
      </c>
    </row>
    <row r="682" spans="1:3">
      <c r="A682" s="55" t="s">
        <v>1276</v>
      </c>
      <c r="B682" s="55" t="s">
        <v>1339</v>
      </c>
      <c r="C682" t="s">
        <v>488</v>
      </c>
    </row>
    <row r="683" spans="1:3">
      <c r="A683" s="55" t="s">
        <v>1276</v>
      </c>
      <c r="B683" s="55" t="s">
        <v>1339</v>
      </c>
      <c r="C683" t="s">
        <v>489</v>
      </c>
    </row>
    <row r="684" spans="1:3">
      <c r="A684" s="55" t="s">
        <v>1276</v>
      </c>
      <c r="B684" s="55" t="s">
        <v>1339</v>
      </c>
      <c r="C684" t="s">
        <v>448</v>
      </c>
    </row>
    <row r="685" spans="1:3">
      <c r="A685" s="55" t="s">
        <v>1276</v>
      </c>
      <c r="B685" s="55" t="s">
        <v>1339</v>
      </c>
      <c r="C685" t="s">
        <v>453</v>
      </c>
    </row>
    <row r="686" spans="1:3">
      <c r="A686" s="55" t="s">
        <v>1276</v>
      </c>
      <c r="B686" s="55" t="s">
        <v>1339</v>
      </c>
      <c r="C686" t="s">
        <v>451</v>
      </c>
    </row>
    <row r="687" spans="1:3">
      <c r="A687" s="55" t="s">
        <v>1276</v>
      </c>
      <c r="B687" s="55" t="s">
        <v>1339</v>
      </c>
      <c r="C687" t="s">
        <v>490</v>
      </c>
    </row>
    <row r="688" spans="1:3">
      <c r="A688" s="55" t="s">
        <v>1276</v>
      </c>
      <c r="B688" s="55" t="s">
        <v>1339</v>
      </c>
      <c r="C688" t="s">
        <v>494</v>
      </c>
    </row>
    <row r="689" spans="1:3">
      <c r="A689" s="55" t="s">
        <v>1276</v>
      </c>
      <c r="B689" s="55" t="s">
        <v>1339</v>
      </c>
      <c r="C689" t="s">
        <v>495</v>
      </c>
    </row>
  </sheetData>
  <autoFilter ref="A1:F1" xr:uid="{A4744CF9-DBBD-4451-A231-8FA9FA26E77E}">
    <sortState xmlns:xlrd2="http://schemas.microsoft.com/office/spreadsheetml/2017/richdata2" ref="A2:F464">
      <sortCondition ref="A1"/>
    </sortState>
  </autoFilter>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608C2-3CD3-4919-9B66-B0E6A03D7BC9}">
  <dimension ref="A1:Y290"/>
  <sheetViews>
    <sheetView workbookViewId="0">
      <selection activeCell="B25" sqref="B25:B290"/>
    </sheetView>
  </sheetViews>
  <sheetFormatPr defaultRowHeight="15" customHeight="1"/>
  <cols>
    <col min="1" max="1" width="28.6640625" bestFit="1" customWidth="1"/>
    <col min="2" max="2" width="32.5546875" customWidth="1"/>
    <col min="3" max="3" width="19.109375" bestFit="1" customWidth="1"/>
    <col min="4" max="4" width="29.5546875" customWidth="1"/>
    <col min="5" max="5" width="24.33203125" bestFit="1" customWidth="1"/>
    <col min="6" max="6" width="17" bestFit="1" customWidth="1"/>
    <col min="7" max="7" width="16.77734375" bestFit="1" customWidth="1"/>
    <col min="8" max="8" width="16.109375" bestFit="1" customWidth="1"/>
    <col min="9" max="10" width="17" bestFit="1" customWidth="1"/>
    <col min="11" max="11" width="13.44140625" bestFit="1" customWidth="1"/>
    <col min="12" max="12" width="14.109375" bestFit="1" customWidth="1"/>
    <col min="13" max="13" width="18.88671875" bestFit="1" customWidth="1"/>
    <col min="14" max="14" width="20.88671875" bestFit="1" customWidth="1"/>
    <col min="15" max="15" width="14.44140625" bestFit="1" customWidth="1"/>
    <col min="16" max="16" width="20.33203125" bestFit="1" customWidth="1"/>
    <col min="17" max="17" width="18.21875" bestFit="1" customWidth="1"/>
    <col min="18" max="18" width="16" bestFit="1" customWidth="1"/>
    <col min="19" max="19" width="13.109375" bestFit="1" customWidth="1"/>
    <col min="20" max="20" width="13.5546875" bestFit="1" customWidth="1"/>
    <col min="21" max="21" width="14.109375" bestFit="1" customWidth="1"/>
    <col min="22" max="22" width="19.21875" bestFit="1" customWidth="1"/>
    <col min="23" max="23" width="24.109375" bestFit="1" customWidth="1"/>
    <col min="24" max="24" width="7.5546875" bestFit="1" customWidth="1"/>
    <col min="25" max="25" width="6.77734375" bestFit="1" customWidth="1"/>
  </cols>
  <sheetData>
    <row r="1" spans="1:25" s="3" customFormat="1" ht="14.4">
      <c r="A1" s="29" t="s">
        <v>165</v>
      </c>
      <c r="B1" s="29" t="s">
        <v>166</v>
      </c>
      <c r="C1" s="29"/>
      <c r="D1" s="29" t="s">
        <v>167</v>
      </c>
      <c r="E1" s="29"/>
      <c r="F1" s="29"/>
      <c r="G1" s="29"/>
      <c r="H1" s="29"/>
      <c r="I1" s="29"/>
      <c r="J1" s="29"/>
      <c r="K1" s="29"/>
      <c r="L1" s="29"/>
      <c r="M1" s="29"/>
      <c r="N1" s="29"/>
      <c r="O1" s="29"/>
      <c r="P1" s="29"/>
      <c r="Q1" s="29"/>
      <c r="R1" s="29"/>
      <c r="S1" s="29"/>
      <c r="T1" s="29"/>
      <c r="U1" s="29"/>
      <c r="V1" s="29"/>
      <c r="W1" s="29"/>
      <c r="X1" s="29"/>
      <c r="Y1" s="29"/>
    </row>
    <row r="2" spans="1:25" ht="16.8">
      <c r="A2" s="30" t="s">
        <v>168</v>
      </c>
      <c r="B2" s="31" t="s">
        <v>169</v>
      </c>
      <c r="C2" s="31"/>
      <c r="D2" s="32" t="s">
        <v>170</v>
      </c>
      <c r="E2" s="30" t="s">
        <v>171</v>
      </c>
      <c r="F2" s="30" t="s">
        <v>172</v>
      </c>
      <c r="G2" s="30"/>
      <c r="H2" s="30"/>
      <c r="I2" s="30"/>
      <c r="J2" s="30"/>
      <c r="K2" s="30"/>
      <c r="L2" s="30"/>
      <c r="M2" s="30"/>
      <c r="N2" s="30"/>
      <c r="O2" s="30"/>
      <c r="P2" s="30"/>
      <c r="Q2" s="30"/>
      <c r="R2" s="30"/>
      <c r="S2" s="30"/>
      <c r="T2" s="30"/>
      <c r="U2" s="30"/>
      <c r="V2" s="30"/>
      <c r="W2" s="30"/>
      <c r="X2" s="30"/>
      <c r="Y2" s="30"/>
    </row>
    <row r="3" spans="1:25" ht="16.8">
      <c r="A3" s="30"/>
      <c r="B3" s="31" t="s">
        <v>173</v>
      </c>
      <c r="C3" s="31"/>
      <c r="D3" s="33" t="s">
        <v>174</v>
      </c>
      <c r="E3" s="30" t="s">
        <v>175</v>
      </c>
      <c r="F3" s="34" t="s">
        <v>176</v>
      </c>
      <c r="G3" s="30" t="s">
        <v>177</v>
      </c>
      <c r="H3" s="30" t="s">
        <v>178</v>
      </c>
      <c r="I3" s="30" t="s">
        <v>179</v>
      </c>
      <c r="J3" s="30" t="s">
        <v>180</v>
      </c>
      <c r="K3" s="30" t="s">
        <v>181</v>
      </c>
      <c r="L3" s="30" t="s">
        <v>182</v>
      </c>
      <c r="M3" s="30" t="s">
        <v>183</v>
      </c>
      <c r="N3" s="30" t="s">
        <v>184</v>
      </c>
      <c r="O3" s="30" t="s">
        <v>185</v>
      </c>
      <c r="P3" s="30" t="s">
        <v>186</v>
      </c>
      <c r="Q3" s="30" t="s">
        <v>187</v>
      </c>
      <c r="R3" s="30" t="s">
        <v>188</v>
      </c>
      <c r="S3" s="30" t="s">
        <v>189</v>
      </c>
      <c r="T3" s="30" t="s">
        <v>190</v>
      </c>
      <c r="U3" s="30" t="s">
        <v>191</v>
      </c>
      <c r="V3" s="30" t="s">
        <v>192</v>
      </c>
      <c r="W3" s="30" t="s">
        <v>193</v>
      </c>
      <c r="X3" s="30"/>
    </row>
    <row r="4" spans="1:25" ht="16.8">
      <c r="A4" s="30"/>
      <c r="B4" s="31" t="s">
        <v>194</v>
      </c>
      <c r="C4" s="31"/>
      <c r="D4" s="33" t="s">
        <v>195</v>
      </c>
      <c r="E4" s="30" t="s">
        <v>196</v>
      </c>
      <c r="F4" s="30" t="s">
        <v>197</v>
      </c>
      <c r="G4" s="30" t="s">
        <v>198</v>
      </c>
      <c r="H4" s="30" t="s">
        <v>199</v>
      </c>
      <c r="I4" s="30" t="s">
        <v>200</v>
      </c>
      <c r="J4" s="30" t="s">
        <v>201</v>
      </c>
      <c r="K4" s="30"/>
      <c r="L4" s="30"/>
      <c r="M4" s="30"/>
      <c r="N4" s="30"/>
      <c r="O4" s="30"/>
      <c r="P4" s="30"/>
      <c r="Q4" s="30"/>
      <c r="R4" s="30"/>
      <c r="S4" s="30"/>
      <c r="T4" s="30"/>
      <c r="U4" s="30"/>
      <c r="V4" s="30"/>
      <c r="W4" s="30"/>
      <c r="X4" s="30"/>
    </row>
    <row r="5" spans="1:25" ht="16.8">
      <c r="A5" s="30" t="s">
        <v>202</v>
      </c>
      <c r="B5" s="31" t="s">
        <v>203</v>
      </c>
      <c r="C5" s="31"/>
      <c r="D5" s="31" t="s">
        <v>204</v>
      </c>
      <c r="E5" s="30" t="s">
        <v>205</v>
      </c>
      <c r="F5" s="30" t="s">
        <v>206</v>
      </c>
      <c r="G5" s="30" t="s">
        <v>207</v>
      </c>
      <c r="H5" s="30" t="s">
        <v>208</v>
      </c>
      <c r="I5" s="30" t="s">
        <v>209</v>
      </c>
      <c r="J5" s="30" t="s">
        <v>210</v>
      </c>
      <c r="K5" s="30" t="s">
        <v>211</v>
      </c>
      <c r="L5" s="30" t="s">
        <v>212</v>
      </c>
      <c r="M5" s="30" t="s">
        <v>213</v>
      </c>
      <c r="N5" s="30" t="s">
        <v>214</v>
      </c>
      <c r="O5" s="30" t="s">
        <v>215</v>
      </c>
      <c r="P5" s="30"/>
      <c r="Q5" s="30"/>
      <c r="R5" s="30"/>
      <c r="S5" s="30"/>
      <c r="T5" s="30"/>
      <c r="U5" s="30"/>
      <c r="V5" s="30"/>
      <c r="W5" s="30"/>
      <c r="X5" s="30"/>
    </row>
    <row r="6" spans="1:25" ht="16.8">
      <c r="A6" s="30"/>
      <c r="B6" s="31" t="s">
        <v>216</v>
      </c>
      <c r="C6" s="31"/>
      <c r="D6" s="33" t="s">
        <v>217</v>
      </c>
      <c r="E6" s="30" t="s">
        <v>218</v>
      </c>
      <c r="F6" s="30" t="s">
        <v>219</v>
      </c>
      <c r="G6" s="30" t="s">
        <v>220</v>
      </c>
      <c r="H6" s="30" t="s">
        <v>221</v>
      </c>
      <c r="I6" s="30" t="s">
        <v>222</v>
      </c>
      <c r="J6" s="30" t="s">
        <v>223</v>
      </c>
      <c r="K6" s="30" t="s">
        <v>224</v>
      </c>
      <c r="L6" s="30" t="s">
        <v>225</v>
      </c>
      <c r="M6" s="30" t="s">
        <v>212</v>
      </c>
      <c r="N6" s="30" t="s">
        <v>226</v>
      </c>
      <c r="O6" s="30" t="s">
        <v>227</v>
      </c>
      <c r="P6" s="30" t="s">
        <v>228</v>
      </c>
      <c r="Q6" s="30" t="s">
        <v>229</v>
      </c>
      <c r="R6" s="30"/>
      <c r="S6" s="30"/>
      <c r="T6" s="30"/>
      <c r="U6" s="30"/>
      <c r="V6" s="30"/>
      <c r="W6" s="30"/>
      <c r="X6" s="30"/>
    </row>
    <row r="7" spans="1:25" ht="16.8">
      <c r="A7" s="30"/>
      <c r="B7" s="31" t="s">
        <v>230</v>
      </c>
      <c r="C7" s="31"/>
      <c r="D7" s="33" t="s">
        <v>174</v>
      </c>
      <c r="E7" s="30" t="s">
        <v>231</v>
      </c>
      <c r="F7" s="30" t="s">
        <v>175</v>
      </c>
      <c r="G7" s="30" t="s">
        <v>232</v>
      </c>
      <c r="H7" s="30" t="s">
        <v>233</v>
      </c>
      <c r="I7" s="30" t="s">
        <v>234</v>
      </c>
      <c r="J7" s="30" t="s">
        <v>235</v>
      </c>
      <c r="K7" s="30" t="s">
        <v>236</v>
      </c>
      <c r="L7" s="30" t="s">
        <v>237</v>
      </c>
      <c r="M7" s="30" t="s">
        <v>179</v>
      </c>
      <c r="N7" s="30" t="s">
        <v>180</v>
      </c>
      <c r="O7" s="30" t="s">
        <v>181</v>
      </c>
      <c r="P7" s="30" t="s">
        <v>182</v>
      </c>
      <c r="Q7" s="30" t="s">
        <v>183</v>
      </c>
      <c r="R7" s="30" t="s">
        <v>184</v>
      </c>
      <c r="S7" s="30" t="s">
        <v>186</v>
      </c>
      <c r="T7" s="30" t="s">
        <v>187</v>
      </c>
      <c r="U7" s="30" t="s">
        <v>189</v>
      </c>
      <c r="V7" s="30" t="s">
        <v>238</v>
      </c>
      <c r="W7" s="30" t="s">
        <v>239</v>
      </c>
      <c r="X7" s="30" t="s">
        <v>240</v>
      </c>
    </row>
    <row r="8" spans="1:25" ht="16.8">
      <c r="A8" s="30"/>
      <c r="B8" s="31" t="s">
        <v>241</v>
      </c>
      <c r="C8" s="31"/>
      <c r="D8" s="33" t="s">
        <v>242</v>
      </c>
      <c r="E8" s="30" t="s">
        <v>243</v>
      </c>
      <c r="F8" s="30" t="s">
        <v>244</v>
      </c>
      <c r="G8" s="30" t="s">
        <v>245</v>
      </c>
      <c r="H8" s="30" t="s">
        <v>246</v>
      </c>
      <c r="I8" s="30" t="s">
        <v>247</v>
      </c>
      <c r="J8" s="30" t="s">
        <v>248</v>
      </c>
      <c r="K8" s="30" t="s">
        <v>249</v>
      </c>
      <c r="L8" s="30" t="s">
        <v>250</v>
      </c>
      <c r="M8" s="30" t="s">
        <v>251</v>
      </c>
      <c r="N8" s="30" t="s">
        <v>252</v>
      </c>
      <c r="O8" s="30" t="s">
        <v>253</v>
      </c>
      <c r="P8" s="30" t="s">
        <v>254</v>
      </c>
      <c r="Q8" s="30" t="s">
        <v>255</v>
      </c>
      <c r="R8" s="30"/>
      <c r="S8" s="30"/>
      <c r="T8" s="30"/>
      <c r="U8" s="30"/>
      <c r="V8" s="30"/>
      <c r="W8" s="30"/>
      <c r="X8" s="30"/>
    </row>
    <row r="9" spans="1:25" ht="16.8">
      <c r="A9" s="30" t="s">
        <v>256</v>
      </c>
      <c r="B9" s="33" t="s">
        <v>257</v>
      </c>
      <c r="C9" s="33"/>
      <c r="D9" s="33" t="s">
        <v>258</v>
      </c>
      <c r="E9" s="30" t="s">
        <v>259</v>
      </c>
      <c r="F9" s="30" t="s">
        <v>260</v>
      </c>
      <c r="G9" s="30" t="s">
        <v>261</v>
      </c>
      <c r="H9" s="30" t="s">
        <v>262</v>
      </c>
      <c r="I9" s="30" t="s">
        <v>263</v>
      </c>
      <c r="J9" s="30" t="s">
        <v>264</v>
      </c>
      <c r="K9" s="30" t="s">
        <v>265</v>
      </c>
      <c r="L9" s="30" t="s">
        <v>266</v>
      </c>
      <c r="M9" s="30" t="s">
        <v>267</v>
      </c>
      <c r="N9" s="30" t="s">
        <v>268</v>
      </c>
      <c r="O9" s="30" t="s">
        <v>269</v>
      </c>
      <c r="P9" s="30" t="s">
        <v>270</v>
      </c>
      <c r="Q9" s="30" t="s">
        <v>271</v>
      </c>
      <c r="R9" s="30" t="s">
        <v>272</v>
      </c>
      <c r="S9" s="30" t="s">
        <v>273</v>
      </c>
      <c r="T9" s="30" t="s">
        <v>274</v>
      </c>
      <c r="U9" s="30"/>
      <c r="V9" s="30"/>
      <c r="W9" s="30"/>
      <c r="X9" s="30"/>
    </row>
    <row r="10" spans="1:25" ht="16.8">
      <c r="A10" s="30"/>
      <c r="B10" s="33" t="s">
        <v>275</v>
      </c>
      <c r="C10" s="33"/>
      <c r="D10" s="33" t="s">
        <v>276</v>
      </c>
      <c r="E10" s="30" t="s">
        <v>277</v>
      </c>
      <c r="F10" s="30" t="s">
        <v>278</v>
      </c>
      <c r="G10" s="30" t="s">
        <v>279</v>
      </c>
      <c r="H10" s="30" t="s">
        <v>280</v>
      </c>
      <c r="I10" s="30" t="s">
        <v>281</v>
      </c>
      <c r="J10" s="30" t="s">
        <v>282</v>
      </c>
      <c r="K10" s="30" t="s">
        <v>283</v>
      </c>
      <c r="L10" s="30" t="s">
        <v>284</v>
      </c>
      <c r="M10" s="30" t="s">
        <v>285</v>
      </c>
      <c r="N10" s="30" t="s">
        <v>286</v>
      </c>
      <c r="O10" s="30" t="s">
        <v>287</v>
      </c>
      <c r="P10" s="30" t="s">
        <v>288</v>
      </c>
      <c r="Q10" s="30" t="s">
        <v>289</v>
      </c>
      <c r="R10" s="30" t="s">
        <v>290</v>
      </c>
      <c r="S10" s="30" t="s">
        <v>291</v>
      </c>
      <c r="T10" s="30" t="s">
        <v>292</v>
      </c>
      <c r="U10" s="30"/>
      <c r="V10" s="30"/>
      <c r="W10" s="30"/>
      <c r="X10" s="30"/>
    </row>
    <row r="11" spans="1:25" ht="16.8">
      <c r="A11" s="30"/>
      <c r="B11" s="33" t="s">
        <v>293</v>
      </c>
      <c r="C11" s="33"/>
      <c r="D11" s="33" t="s">
        <v>294</v>
      </c>
      <c r="E11" s="30" t="s">
        <v>295</v>
      </c>
      <c r="F11" s="30" t="s">
        <v>296</v>
      </c>
      <c r="G11" s="30" t="s">
        <v>297</v>
      </c>
      <c r="H11" s="30" t="s">
        <v>298</v>
      </c>
      <c r="I11" s="30" t="s">
        <v>299</v>
      </c>
      <c r="J11" s="30" t="s">
        <v>300</v>
      </c>
      <c r="K11" s="30" t="s">
        <v>301</v>
      </c>
      <c r="L11" s="30" t="s">
        <v>302</v>
      </c>
      <c r="M11" s="30" t="s">
        <v>303</v>
      </c>
      <c r="N11" s="30" t="s">
        <v>304</v>
      </c>
      <c r="O11" s="30" t="s">
        <v>305</v>
      </c>
      <c r="P11" s="30"/>
      <c r="Q11" s="30"/>
      <c r="R11" s="30"/>
      <c r="S11" s="30"/>
      <c r="T11" s="30"/>
      <c r="U11" s="30"/>
      <c r="V11" s="30"/>
      <c r="W11" s="30"/>
      <c r="X11" s="30"/>
    </row>
    <row r="12" spans="1:25" ht="16.8">
      <c r="A12" s="30"/>
      <c r="B12" s="33" t="s">
        <v>306</v>
      </c>
      <c r="C12" s="33"/>
      <c r="D12" s="33" t="s">
        <v>307</v>
      </c>
      <c r="E12" s="30" t="s">
        <v>308</v>
      </c>
      <c r="F12" s="30" t="s">
        <v>309</v>
      </c>
      <c r="G12" s="30" t="s">
        <v>310</v>
      </c>
      <c r="H12" s="30" t="s">
        <v>311</v>
      </c>
      <c r="I12" s="30" t="s">
        <v>312</v>
      </c>
      <c r="J12" s="30" t="s">
        <v>313</v>
      </c>
      <c r="K12" s="30" t="s">
        <v>314</v>
      </c>
      <c r="L12" s="30" t="s">
        <v>315</v>
      </c>
      <c r="M12" s="30" t="s">
        <v>316</v>
      </c>
      <c r="N12" s="30" t="s">
        <v>317</v>
      </c>
      <c r="O12" s="30" t="s">
        <v>318</v>
      </c>
      <c r="P12" s="30" t="s">
        <v>319</v>
      </c>
      <c r="Q12" s="30" t="s">
        <v>320</v>
      </c>
      <c r="R12" s="30" t="s">
        <v>321</v>
      </c>
      <c r="S12" s="30" t="s">
        <v>322</v>
      </c>
      <c r="T12" s="30" t="s">
        <v>323</v>
      </c>
      <c r="U12" s="30" t="s">
        <v>324</v>
      </c>
      <c r="V12" s="30" t="s">
        <v>325</v>
      </c>
      <c r="W12" s="30"/>
      <c r="X12" s="30"/>
    </row>
    <row r="13" spans="1:25" ht="16.8">
      <c r="A13" s="30" t="s">
        <v>326</v>
      </c>
      <c r="B13" s="31" t="s">
        <v>327</v>
      </c>
      <c r="C13" s="31"/>
      <c r="D13" s="33" t="s">
        <v>328</v>
      </c>
      <c r="E13" s="30" t="s">
        <v>329</v>
      </c>
      <c r="F13" s="30" t="s">
        <v>330</v>
      </c>
      <c r="G13" s="30" t="s">
        <v>190</v>
      </c>
      <c r="H13" s="30" t="s">
        <v>331</v>
      </c>
      <c r="I13" s="30" t="s">
        <v>332</v>
      </c>
      <c r="J13" s="30" t="s">
        <v>333</v>
      </c>
      <c r="K13" s="30" t="s">
        <v>334</v>
      </c>
      <c r="L13" s="30" t="s">
        <v>335</v>
      </c>
      <c r="M13" s="30" t="s">
        <v>336</v>
      </c>
      <c r="N13" s="30" t="s">
        <v>337</v>
      </c>
      <c r="O13" s="30" t="s">
        <v>338</v>
      </c>
      <c r="P13" s="30" t="s">
        <v>339</v>
      </c>
      <c r="Q13" s="30" t="s">
        <v>340</v>
      </c>
      <c r="R13" s="30" t="s">
        <v>341</v>
      </c>
      <c r="S13" s="30" t="s">
        <v>342</v>
      </c>
      <c r="T13" s="30" t="s">
        <v>343</v>
      </c>
      <c r="U13" s="30" t="s">
        <v>344</v>
      </c>
      <c r="V13" s="30"/>
      <c r="W13" s="30"/>
      <c r="X13" s="30"/>
    </row>
    <row r="14" spans="1:25" ht="16.8">
      <c r="A14" s="30"/>
      <c r="B14" s="31" t="s">
        <v>345</v>
      </c>
      <c r="C14" s="31"/>
      <c r="D14" s="33" t="s">
        <v>346</v>
      </c>
      <c r="E14" s="30" t="s">
        <v>347</v>
      </c>
      <c r="F14" s="30" t="s">
        <v>348</v>
      </c>
      <c r="G14" s="30" t="s">
        <v>349</v>
      </c>
      <c r="H14" s="30" t="s">
        <v>350</v>
      </c>
      <c r="I14" s="30" t="s">
        <v>351</v>
      </c>
      <c r="J14" s="30" t="s">
        <v>352</v>
      </c>
      <c r="K14" s="30" t="s">
        <v>353</v>
      </c>
      <c r="L14" s="30"/>
      <c r="M14" s="30"/>
      <c r="N14" s="30"/>
      <c r="O14" s="30"/>
      <c r="P14" s="30"/>
      <c r="Q14" s="30"/>
      <c r="R14" s="30"/>
      <c r="S14" s="30"/>
      <c r="T14" s="30"/>
      <c r="U14" s="30"/>
      <c r="V14" s="30"/>
      <c r="W14" s="30"/>
      <c r="X14" s="30"/>
    </row>
    <row r="15" spans="1:25" ht="16.8">
      <c r="B15" s="1"/>
      <c r="C15" s="1"/>
      <c r="D15" s="1"/>
    </row>
    <row r="16" spans="1:25" ht="16.8">
      <c r="B16" s="1"/>
      <c r="C16" s="1"/>
      <c r="D16" s="1"/>
    </row>
    <row r="17" spans="1:12" ht="16.8">
      <c r="A17" s="1" t="s">
        <v>354</v>
      </c>
      <c r="B17" s="1" t="s">
        <v>355</v>
      </c>
      <c r="C17" s="1"/>
    </row>
    <row r="18" spans="1:12" ht="16.8">
      <c r="A18" s="1" t="s">
        <v>356</v>
      </c>
      <c r="B18" s="1" t="s">
        <v>357</v>
      </c>
      <c r="C18" s="1"/>
    </row>
    <row r="19" spans="1:12" ht="16.8">
      <c r="A19" s="1" t="s">
        <v>358</v>
      </c>
      <c r="B19" s="1" t="s">
        <v>359</v>
      </c>
      <c r="C19" s="1"/>
    </row>
    <row r="20" spans="1:12" ht="16.8">
      <c r="A20" s="1" t="s">
        <v>360</v>
      </c>
      <c r="B20" s="1" t="s">
        <v>361</v>
      </c>
      <c r="C20" s="1"/>
      <c r="D20" s="1"/>
    </row>
    <row r="21" spans="1:12" ht="16.8">
      <c r="B21" s="1"/>
      <c r="C21" s="1"/>
    </row>
    <row r="22" spans="1:12" ht="16.8">
      <c r="B22" s="1"/>
      <c r="C22" s="1"/>
    </row>
    <row r="23" spans="1:12" s="7" customFormat="1" ht="14.4">
      <c r="F23" s="113"/>
      <c r="G23" s="114"/>
      <c r="H23" s="114"/>
      <c r="I23" s="115"/>
      <c r="J23" s="7" t="s">
        <v>362</v>
      </c>
      <c r="K23" s="7" t="s">
        <v>363</v>
      </c>
      <c r="L23" s="7" t="s">
        <v>364</v>
      </c>
    </row>
    <row r="24" spans="1:12" s="5" customFormat="1" ht="14.4">
      <c r="A24" s="6" t="s">
        <v>165</v>
      </c>
      <c r="B24" s="6" t="s">
        <v>167</v>
      </c>
      <c r="C24" s="5" t="s">
        <v>368</v>
      </c>
      <c r="D24" s="5" t="s">
        <v>369</v>
      </c>
      <c r="E24" s="5" t="s">
        <v>370</v>
      </c>
      <c r="J24" s="5" t="s">
        <v>365</v>
      </c>
      <c r="K24" s="5" t="s">
        <v>366</v>
      </c>
      <c r="L24" s="5" t="s">
        <v>367</v>
      </c>
    </row>
    <row r="25" spans="1:12" ht="15" customHeight="1">
      <c r="A25" t="s">
        <v>168</v>
      </c>
      <c r="B25" s="4" t="s">
        <v>170</v>
      </c>
      <c r="C25">
        <v>1</v>
      </c>
      <c r="D25">
        <v>1</v>
      </c>
      <c r="E25">
        <v>1</v>
      </c>
      <c r="F25">
        <f t="shared" ref="F25:F88" si="0">SUM(C25:E25)</f>
        <v>3</v>
      </c>
      <c r="J25">
        <v>1</v>
      </c>
      <c r="K25">
        <v>0</v>
      </c>
      <c r="L25">
        <v>0</v>
      </c>
    </row>
    <row r="26" spans="1:12" ht="15" customHeight="1">
      <c r="A26" t="s">
        <v>168</v>
      </c>
      <c r="B26" t="s">
        <v>171</v>
      </c>
      <c r="C26">
        <v>1</v>
      </c>
      <c r="D26">
        <v>0</v>
      </c>
      <c r="E26">
        <v>1</v>
      </c>
      <c r="F26">
        <f t="shared" si="0"/>
        <v>2</v>
      </c>
      <c r="J26">
        <v>0</v>
      </c>
      <c r="K26">
        <v>1</v>
      </c>
      <c r="L26">
        <v>1</v>
      </c>
    </row>
    <row r="27" spans="1:12" ht="15" customHeight="1">
      <c r="A27" t="s">
        <v>168</v>
      </c>
      <c r="B27" t="s">
        <v>172</v>
      </c>
      <c r="C27">
        <v>1</v>
      </c>
      <c r="D27">
        <v>1</v>
      </c>
      <c r="E27">
        <v>1</v>
      </c>
      <c r="F27">
        <f t="shared" si="0"/>
        <v>3</v>
      </c>
      <c r="J27">
        <v>0</v>
      </c>
      <c r="K27">
        <v>0</v>
      </c>
      <c r="L27" s="13">
        <v>1</v>
      </c>
    </row>
    <row r="28" spans="1:12" ht="15" customHeight="1">
      <c r="A28" t="s">
        <v>168</v>
      </c>
      <c r="B28" s="2" t="s">
        <v>174</v>
      </c>
      <c r="C28">
        <v>0</v>
      </c>
      <c r="D28">
        <v>1</v>
      </c>
      <c r="E28" s="9">
        <v>1</v>
      </c>
      <c r="F28">
        <f t="shared" si="0"/>
        <v>2</v>
      </c>
      <c r="J28">
        <v>1</v>
      </c>
      <c r="K28" s="9">
        <v>1</v>
      </c>
      <c r="L28" s="9">
        <v>0</v>
      </c>
    </row>
    <row r="29" spans="1:12" ht="15" customHeight="1">
      <c r="A29" t="s">
        <v>168</v>
      </c>
      <c r="B29" t="s">
        <v>175</v>
      </c>
      <c r="C29">
        <v>1</v>
      </c>
      <c r="D29">
        <v>1</v>
      </c>
      <c r="E29">
        <v>1</v>
      </c>
      <c r="F29">
        <f t="shared" si="0"/>
        <v>3</v>
      </c>
      <c r="J29">
        <v>1</v>
      </c>
      <c r="K29">
        <v>0</v>
      </c>
      <c r="L29">
        <v>0</v>
      </c>
    </row>
    <row r="30" spans="1:12" ht="15" customHeight="1">
      <c r="A30" t="s">
        <v>168</v>
      </c>
      <c r="B30" s="10" t="s">
        <v>176</v>
      </c>
      <c r="C30">
        <v>0</v>
      </c>
      <c r="D30">
        <v>0</v>
      </c>
      <c r="E30">
        <v>1</v>
      </c>
      <c r="F30">
        <f t="shared" si="0"/>
        <v>1</v>
      </c>
      <c r="J30">
        <v>1</v>
      </c>
      <c r="K30">
        <v>0</v>
      </c>
      <c r="L30">
        <v>0</v>
      </c>
    </row>
    <row r="31" spans="1:12" ht="15" customHeight="1">
      <c r="A31" t="s">
        <v>168</v>
      </c>
      <c r="B31" t="s">
        <v>177</v>
      </c>
      <c r="C31">
        <v>1</v>
      </c>
      <c r="D31">
        <v>1</v>
      </c>
      <c r="E31">
        <v>1</v>
      </c>
      <c r="F31">
        <f t="shared" si="0"/>
        <v>3</v>
      </c>
      <c r="J31">
        <v>0</v>
      </c>
      <c r="K31">
        <v>0</v>
      </c>
      <c r="L31">
        <v>1</v>
      </c>
    </row>
    <row r="32" spans="1:12" ht="15" customHeight="1">
      <c r="A32" t="s">
        <v>168</v>
      </c>
      <c r="B32" t="s">
        <v>178</v>
      </c>
      <c r="C32">
        <v>1</v>
      </c>
      <c r="D32">
        <v>1</v>
      </c>
      <c r="E32">
        <v>1</v>
      </c>
      <c r="F32">
        <f t="shared" si="0"/>
        <v>3</v>
      </c>
      <c r="J32">
        <v>0</v>
      </c>
      <c r="K32">
        <v>0</v>
      </c>
      <c r="L32">
        <v>1</v>
      </c>
    </row>
    <row r="33" spans="1:12" ht="15" customHeight="1">
      <c r="A33" t="s">
        <v>168</v>
      </c>
      <c r="B33" t="s">
        <v>179</v>
      </c>
      <c r="C33">
        <v>1</v>
      </c>
      <c r="D33">
        <v>0</v>
      </c>
      <c r="E33">
        <v>0</v>
      </c>
      <c r="F33">
        <f t="shared" si="0"/>
        <v>1</v>
      </c>
      <c r="J33">
        <v>1</v>
      </c>
      <c r="K33">
        <v>0</v>
      </c>
      <c r="L33">
        <v>1</v>
      </c>
    </row>
    <row r="34" spans="1:12" ht="15" customHeight="1">
      <c r="A34" t="s">
        <v>168</v>
      </c>
      <c r="B34" t="s">
        <v>180</v>
      </c>
      <c r="C34">
        <v>0</v>
      </c>
      <c r="D34">
        <v>0</v>
      </c>
      <c r="E34">
        <v>1</v>
      </c>
      <c r="F34">
        <f t="shared" si="0"/>
        <v>1</v>
      </c>
      <c r="J34">
        <v>1</v>
      </c>
      <c r="K34">
        <v>0</v>
      </c>
      <c r="L34">
        <v>0</v>
      </c>
    </row>
    <row r="35" spans="1:12" ht="15" customHeight="1">
      <c r="A35" t="s">
        <v>168</v>
      </c>
      <c r="B35" t="s">
        <v>181</v>
      </c>
      <c r="C35">
        <v>1</v>
      </c>
      <c r="D35">
        <v>0</v>
      </c>
      <c r="E35">
        <v>0</v>
      </c>
      <c r="F35">
        <f t="shared" si="0"/>
        <v>1</v>
      </c>
      <c r="J35">
        <v>1</v>
      </c>
      <c r="K35">
        <v>0</v>
      </c>
      <c r="L35">
        <v>0</v>
      </c>
    </row>
    <row r="36" spans="1:12" ht="15" customHeight="1">
      <c r="A36" t="s">
        <v>168</v>
      </c>
      <c r="B36" t="s">
        <v>182</v>
      </c>
      <c r="C36">
        <v>1</v>
      </c>
      <c r="D36">
        <v>1</v>
      </c>
      <c r="E36">
        <v>1</v>
      </c>
      <c r="F36">
        <f t="shared" si="0"/>
        <v>3</v>
      </c>
      <c r="J36">
        <v>1</v>
      </c>
      <c r="K36">
        <v>1</v>
      </c>
      <c r="L36">
        <v>0</v>
      </c>
    </row>
    <row r="37" spans="1:12" ht="15" customHeight="1">
      <c r="A37" t="s">
        <v>168</v>
      </c>
      <c r="B37" t="s">
        <v>183</v>
      </c>
      <c r="C37">
        <v>1</v>
      </c>
      <c r="D37">
        <v>0</v>
      </c>
      <c r="E37">
        <v>1</v>
      </c>
      <c r="F37">
        <f t="shared" si="0"/>
        <v>2</v>
      </c>
      <c r="J37">
        <v>1</v>
      </c>
      <c r="K37">
        <v>1</v>
      </c>
      <c r="L37">
        <v>1</v>
      </c>
    </row>
    <row r="38" spans="1:12" ht="15" customHeight="1">
      <c r="A38" t="s">
        <v>168</v>
      </c>
      <c r="B38" t="s">
        <v>184</v>
      </c>
      <c r="C38">
        <v>1</v>
      </c>
      <c r="D38">
        <v>1</v>
      </c>
      <c r="E38">
        <v>1</v>
      </c>
      <c r="F38">
        <f t="shared" si="0"/>
        <v>3</v>
      </c>
      <c r="J38">
        <v>1</v>
      </c>
      <c r="K38">
        <v>0</v>
      </c>
      <c r="L38">
        <v>1</v>
      </c>
    </row>
    <row r="39" spans="1:12" ht="15" customHeight="1">
      <c r="A39" t="s">
        <v>168</v>
      </c>
      <c r="B39" t="s">
        <v>185</v>
      </c>
      <c r="C39">
        <v>1</v>
      </c>
      <c r="D39">
        <v>1</v>
      </c>
      <c r="E39">
        <v>0</v>
      </c>
      <c r="F39">
        <f t="shared" si="0"/>
        <v>2</v>
      </c>
      <c r="J39">
        <v>1</v>
      </c>
      <c r="K39">
        <v>0</v>
      </c>
      <c r="L39">
        <v>0</v>
      </c>
    </row>
    <row r="40" spans="1:12" ht="15" customHeight="1">
      <c r="A40" t="s">
        <v>168</v>
      </c>
      <c r="B40" t="s">
        <v>186</v>
      </c>
      <c r="C40">
        <v>1</v>
      </c>
      <c r="D40">
        <v>0</v>
      </c>
      <c r="E40">
        <v>1</v>
      </c>
      <c r="F40">
        <f t="shared" si="0"/>
        <v>2</v>
      </c>
      <c r="J40">
        <v>1</v>
      </c>
      <c r="K40">
        <v>0</v>
      </c>
      <c r="L40">
        <v>0</v>
      </c>
    </row>
    <row r="41" spans="1:12" ht="15" customHeight="1">
      <c r="A41" t="s">
        <v>168</v>
      </c>
      <c r="B41" t="s">
        <v>187</v>
      </c>
      <c r="C41">
        <v>1</v>
      </c>
      <c r="D41">
        <v>0</v>
      </c>
      <c r="E41">
        <v>1</v>
      </c>
      <c r="F41">
        <f t="shared" si="0"/>
        <v>2</v>
      </c>
      <c r="J41">
        <v>1</v>
      </c>
      <c r="K41">
        <v>1</v>
      </c>
      <c r="L41">
        <v>0</v>
      </c>
    </row>
    <row r="42" spans="1:12" ht="15" customHeight="1">
      <c r="A42" t="s">
        <v>168</v>
      </c>
      <c r="B42" t="s">
        <v>188</v>
      </c>
      <c r="C42">
        <v>1</v>
      </c>
      <c r="D42">
        <v>0</v>
      </c>
      <c r="E42">
        <v>1</v>
      </c>
      <c r="F42">
        <f t="shared" si="0"/>
        <v>2</v>
      </c>
      <c r="J42">
        <v>1</v>
      </c>
      <c r="K42">
        <v>0</v>
      </c>
      <c r="L42">
        <v>0</v>
      </c>
    </row>
    <row r="43" spans="1:12" ht="15" customHeight="1">
      <c r="A43" t="s">
        <v>168</v>
      </c>
      <c r="B43" t="s">
        <v>189</v>
      </c>
      <c r="C43">
        <v>0</v>
      </c>
      <c r="D43">
        <v>1</v>
      </c>
      <c r="E43">
        <v>1</v>
      </c>
      <c r="F43">
        <f t="shared" si="0"/>
        <v>2</v>
      </c>
      <c r="J43">
        <v>1</v>
      </c>
      <c r="K43">
        <v>0</v>
      </c>
      <c r="L43">
        <v>0</v>
      </c>
    </row>
    <row r="44" spans="1:12" ht="15" customHeight="1">
      <c r="A44" t="s">
        <v>168</v>
      </c>
      <c r="B44" t="s">
        <v>190</v>
      </c>
      <c r="C44">
        <v>1</v>
      </c>
      <c r="D44">
        <v>0</v>
      </c>
      <c r="E44">
        <v>0</v>
      </c>
      <c r="F44">
        <f t="shared" si="0"/>
        <v>1</v>
      </c>
      <c r="J44">
        <v>0</v>
      </c>
      <c r="K44">
        <v>1</v>
      </c>
      <c r="L44">
        <v>0</v>
      </c>
    </row>
    <row r="45" spans="1:12" ht="15" customHeight="1">
      <c r="A45" t="s">
        <v>168</v>
      </c>
      <c r="B45" t="s">
        <v>191</v>
      </c>
      <c r="C45">
        <v>0</v>
      </c>
      <c r="D45">
        <v>1</v>
      </c>
      <c r="E45">
        <v>1</v>
      </c>
      <c r="F45">
        <f t="shared" si="0"/>
        <v>2</v>
      </c>
      <c r="J45">
        <v>1</v>
      </c>
      <c r="K45">
        <v>0</v>
      </c>
      <c r="L45">
        <v>0</v>
      </c>
    </row>
    <row r="46" spans="1:12" ht="15" customHeight="1">
      <c r="A46" t="s">
        <v>168</v>
      </c>
      <c r="B46" t="s">
        <v>371</v>
      </c>
      <c r="C46">
        <v>0</v>
      </c>
      <c r="D46">
        <v>1</v>
      </c>
      <c r="E46">
        <v>1</v>
      </c>
      <c r="F46">
        <f t="shared" si="0"/>
        <v>2</v>
      </c>
      <c r="J46">
        <v>1</v>
      </c>
      <c r="K46">
        <v>0</v>
      </c>
      <c r="L46">
        <v>0</v>
      </c>
    </row>
    <row r="47" spans="1:12" ht="15" customHeight="1">
      <c r="A47" t="s">
        <v>168</v>
      </c>
      <c r="B47" t="s">
        <v>193</v>
      </c>
      <c r="C47">
        <v>0</v>
      </c>
      <c r="D47">
        <v>0</v>
      </c>
      <c r="E47">
        <v>1</v>
      </c>
      <c r="F47">
        <f t="shared" si="0"/>
        <v>1</v>
      </c>
      <c r="J47">
        <v>1</v>
      </c>
      <c r="K47">
        <v>0</v>
      </c>
      <c r="L47">
        <v>0</v>
      </c>
    </row>
    <row r="48" spans="1:12" ht="15" customHeight="1">
      <c r="A48" t="s">
        <v>168</v>
      </c>
      <c r="B48" s="2" t="s">
        <v>195</v>
      </c>
      <c r="C48">
        <v>0</v>
      </c>
      <c r="D48">
        <v>0</v>
      </c>
      <c r="E48">
        <v>1</v>
      </c>
      <c r="F48">
        <f t="shared" si="0"/>
        <v>1</v>
      </c>
      <c r="J48">
        <v>0</v>
      </c>
      <c r="K48">
        <v>0</v>
      </c>
      <c r="L48">
        <v>1</v>
      </c>
    </row>
    <row r="49" spans="1:12" ht="15" customHeight="1">
      <c r="A49" t="s">
        <v>168</v>
      </c>
      <c r="B49" t="s">
        <v>196</v>
      </c>
      <c r="C49">
        <v>1</v>
      </c>
      <c r="D49">
        <v>0</v>
      </c>
      <c r="E49">
        <v>1</v>
      </c>
      <c r="F49">
        <f t="shared" si="0"/>
        <v>2</v>
      </c>
      <c r="J49">
        <v>0</v>
      </c>
      <c r="K49">
        <v>0</v>
      </c>
      <c r="L49" s="13">
        <v>1</v>
      </c>
    </row>
    <row r="50" spans="1:12" ht="15" customHeight="1">
      <c r="A50" t="s">
        <v>168</v>
      </c>
      <c r="B50" t="s">
        <v>197</v>
      </c>
      <c r="C50">
        <v>1</v>
      </c>
      <c r="D50">
        <v>0</v>
      </c>
      <c r="E50">
        <v>1</v>
      </c>
      <c r="F50">
        <f t="shared" si="0"/>
        <v>2</v>
      </c>
      <c r="J50">
        <v>0</v>
      </c>
      <c r="K50">
        <v>1</v>
      </c>
      <c r="L50">
        <v>0</v>
      </c>
    </row>
    <row r="51" spans="1:12" ht="15" customHeight="1">
      <c r="A51" t="s">
        <v>168</v>
      </c>
      <c r="B51" t="s">
        <v>198</v>
      </c>
      <c r="C51">
        <v>1</v>
      </c>
      <c r="D51">
        <v>0</v>
      </c>
      <c r="E51">
        <v>1</v>
      </c>
      <c r="F51">
        <f t="shared" si="0"/>
        <v>2</v>
      </c>
      <c r="J51">
        <v>1</v>
      </c>
      <c r="K51">
        <v>1</v>
      </c>
      <c r="L51">
        <v>0</v>
      </c>
    </row>
    <row r="52" spans="1:12" ht="15" customHeight="1">
      <c r="A52" t="s">
        <v>168</v>
      </c>
      <c r="B52" t="s">
        <v>199</v>
      </c>
      <c r="C52">
        <v>0</v>
      </c>
      <c r="D52">
        <v>0</v>
      </c>
      <c r="E52">
        <v>1</v>
      </c>
      <c r="F52">
        <f t="shared" si="0"/>
        <v>1</v>
      </c>
      <c r="J52">
        <v>1</v>
      </c>
      <c r="K52">
        <v>1</v>
      </c>
      <c r="L52">
        <v>0</v>
      </c>
    </row>
    <row r="53" spans="1:12" ht="15" customHeight="1">
      <c r="A53" t="s">
        <v>168</v>
      </c>
      <c r="B53" t="s">
        <v>200</v>
      </c>
      <c r="C53">
        <v>0</v>
      </c>
      <c r="D53">
        <v>0</v>
      </c>
      <c r="E53">
        <v>0</v>
      </c>
      <c r="F53">
        <f t="shared" si="0"/>
        <v>0</v>
      </c>
      <c r="J53">
        <v>1</v>
      </c>
      <c r="K53">
        <v>1</v>
      </c>
      <c r="L53">
        <v>0</v>
      </c>
    </row>
    <row r="54" spans="1:12" ht="15" customHeight="1">
      <c r="A54" t="s">
        <v>168</v>
      </c>
      <c r="B54" t="s">
        <v>201</v>
      </c>
      <c r="C54">
        <v>1</v>
      </c>
      <c r="D54">
        <v>1</v>
      </c>
      <c r="E54">
        <v>0</v>
      </c>
      <c r="F54">
        <f t="shared" si="0"/>
        <v>2</v>
      </c>
      <c r="J54">
        <v>0</v>
      </c>
      <c r="K54">
        <v>1</v>
      </c>
      <c r="L54">
        <v>0</v>
      </c>
    </row>
    <row r="55" spans="1:12" ht="15" customHeight="1">
      <c r="A55" s="14" t="s">
        <v>202</v>
      </c>
      <c r="B55" s="15" t="s">
        <v>204</v>
      </c>
      <c r="C55">
        <v>1</v>
      </c>
      <c r="D55">
        <v>0</v>
      </c>
      <c r="E55">
        <v>0</v>
      </c>
      <c r="F55">
        <f t="shared" si="0"/>
        <v>1</v>
      </c>
      <c r="J55">
        <v>1</v>
      </c>
      <c r="K55">
        <v>1</v>
      </c>
      <c r="L55">
        <v>0</v>
      </c>
    </row>
    <row r="56" spans="1:12" ht="15" customHeight="1">
      <c r="A56" s="11" t="s">
        <v>202</v>
      </c>
      <c r="B56" t="s">
        <v>205</v>
      </c>
      <c r="C56">
        <v>1</v>
      </c>
      <c r="D56">
        <v>0</v>
      </c>
      <c r="E56">
        <v>0</v>
      </c>
      <c r="F56">
        <f t="shared" si="0"/>
        <v>1</v>
      </c>
      <c r="J56">
        <v>1</v>
      </c>
      <c r="K56">
        <v>0</v>
      </c>
      <c r="L56">
        <v>0</v>
      </c>
    </row>
    <row r="57" spans="1:12" ht="15" customHeight="1">
      <c r="A57" s="11" t="s">
        <v>202</v>
      </c>
      <c r="B57" t="s">
        <v>206</v>
      </c>
      <c r="C57">
        <v>1</v>
      </c>
      <c r="D57">
        <v>0</v>
      </c>
      <c r="E57">
        <v>0</v>
      </c>
      <c r="F57">
        <f t="shared" si="0"/>
        <v>1</v>
      </c>
      <c r="J57">
        <v>0</v>
      </c>
      <c r="K57">
        <v>1</v>
      </c>
      <c r="L57">
        <v>0</v>
      </c>
    </row>
    <row r="58" spans="1:12" ht="15" customHeight="1">
      <c r="A58" s="11" t="s">
        <v>202</v>
      </c>
      <c r="B58" t="s">
        <v>207</v>
      </c>
      <c r="C58">
        <v>1</v>
      </c>
      <c r="D58">
        <v>0</v>
      </c>
      <c r="E58">
        <v>0</v>
      </c>
      <c r="F58">
        <f t="shared" si="0"/>
        <v>1</v>
      </c>
      <c r="J58">
        <v>1</v>
      </c>
      <c r="K58">
        <v>1</v>
      </c>
      <c r="L58">
        <v>0</v>
      </c>
    </row>
    <row r="59" spans="1:12" ht="15" customHeight="1">
      <c r="A59" s="11" t="s">
        <v>202</v>
      </c>
      <c r="B59" t="s">
        <v>372</v>
      </c>
      <c r="C59">
        <v>1</v>
      </c>
      <c r="D59">
        <v>0</v>
      </c>
      <c r="E59">
        <v>0</v>
      </c>
      <c r="F59">
        <f t="shared" si="0"/>
        <v>1</v>
      </c>
      <c r="J59">
        <v>0</v>
      </c>
      <c r="K59">
        <v>1</v>
      </c>
      <c r="L59">
        <v>0</v>
      </c>
    </row>
    <row r="60" spans="1:12" ht="15" customHeight="1">
      <c r="A60" s="11" t="s">
        <v>202</v>
      </c>
      <c r="B60" t="s">
        <v>373</v>
      </c>
      <c r="C60">
        <v>1</v>
      </c>
      <c r="D60">
        <v>0</v>
      </c>
      <c r="E60">
        <v>0</v>
      </c>
      <c r="F60">
        <f t="shared" si="0"/>
        <v>1</v>
      </c>
      <c r="J60">
        <v>1</v>
      </c>
      <c r="K60">
        <v>0</v>
      </c>
      <c r="L60">
        <v>1</v>
      </c>
    </row>
    <row r="61" spans="1:12" ht="15" customHeight="1">
      <c r="A61" s="11" t="s">
        <v>202</v>
      </c>
      <c r="B61" t="s">
        <v>210</v>
      </c>
      <c r="C61">
        <v>0</v>
      </c>
      <c r="D61">
        <v>0</v>
      </c>
      <c r="E61">
        <v>0</v>
      </c>
      <c r="F61">
        <f t="shared" si="0"/>
        <v>0</v>
      </c>
      <c r="J61">
        <v>1</v>
      </c>
      <c r="K61">
        <v>1</v>
      </c>
      <c r="L61">
        <v>1</v>
      </c>
    </row>
    <row r="62" spans="1:12" ht="15" customHeight="1">
      <c r="A62" s="11" t="s">
        <v>202</v>
      </c>
      <c r="B62" t="s">
        <v>211</v>
      </c>
      <c r="C62">
        <v>0</v>
      </c>
      <c r="D62">
        <v>0</v>
      </c>
      <c r="E62">
        <v>0</v>
      </c>
      <c r="F62">
        <f t="shared" si="0"/>
        <v>0</v>
      </c>
      <c r="J62">
        <v>0</v>
      </c>
      <c r="K62">
        <v>1</v>
      </c>
      <c r="L62">
        <v>1</v>
      </c>
    </row>
    <row r="63" spans="1:12" ht="15" customHeight="1">
      <c r="A63" s="11" t="s">
        <v>202</v>
      </c>
      <c r="B63" t="s">
        <v>212</v>
      </c>
      <c r="C63">
        <v>1</v>
      </c>
      <c r="D63">
        <v>0</v>
      </c>
      <c r="E63">
        <v>0</v>
      </c>
      <c r="F63">
        <f t="shared" si="0"/>
        <v>1</v>
      </c>
      <c r="J63">
        <v>1</v>
      </c>
      <c r="K63">
        <v>1</v>
      </c>
      <c r="L63">
        <v>0</v>
      </c>
    </row>
    <row r="64" spans="1:12" ht="15" customHeight="1">
      <c r="A64" s="11" t="s">
        <v>202</v>
      </c>
      <c r="B64" t="s">
        <v>213</v>
      </c>
      <c r="C64">
        <v>0</v>
      </c>
      <c r="D64">
        <v>0</v>
      </c>
      <c r="E64">
        <v>1</v>
      </c>
      <c r="F64">
        <f t="shared" si="0"/>
        <v>1</v>
      </c>
      <c r="J64">
        <v>1</v>
      </c>
      <c r="K64">
        <v>1</v>
      </c>
      <c r="L64">
        <v>0</v>
      </c>
    </row>
    <row r="65" spans="1:12" ht="15" customHeight="1">
      <c r="A65" s="11" t="s">
        <v>202</v>
      </c>
      <c r="B65" t="s">
        <v>214</v>
      </c>
      <c r="C65">
        <v>0</v>
      </c>
      <c r="D65">
        <v>0</v>
      </c>
      <c r="E65">
        <v>0</v>
      </c>
      <c r="F65">
        <f t="shared" si="0"/>
        <v>0</v>
      </c>
      <c r="J65">
        <v>1</v>
      </c>
      <c r="K65">
        <v>1</v>
      </c>
      <c r="L65">
        <v>0</v>
      </c>
    </row>
    <row r="66" spans="1:12" ht="15" customHeight="1">
      <c r="A66" s="11" t="s">
        <v>202</v>
      </c>
      <c r="B66" t="s">
        <v>215</v>
      </c>
      <c r="C66">
        <v>0</v>
      </c>
      <c r="D66">
        <v>0</v>
      </c>
      <c r="E66">
        <v>0</v>
      </c>
      <c r="F66">
        <f t="shared" si="0"/>
        <v>0</v>
      </c>
      <c r="J66">
        <v>1</v>
      </c>
      <c r="K66">
        <v>0</v>
      </c>
      <c r="L66">
        <v>0</v>
      </c>
    </row>
    <row r="67" spans="1:12" ht="15" customHeight="1">
      <c r="A67" s="11" t="s">
        <v>202</v>
      </c>
      <c r="B67" s="2" t="s">
        <v>217</v>
      </c>
      <c r="C67">
        <v>0</v>
      </c>
      <c r="D67">
        <v>0</v>
      </c>
      <c r="E67">
        <v>1</v>
      </c>
      <c r="F67">
        <f t="shared" si="0"/>
        <v>1</v>
      </c>
      <c r="J67">
        <v>1</v>
      </c>
      <c r="K67">
        <v>1</v>
      </c>
      <c r="L67">
        <v>0</v>
      </c>
    </row>
    <row r="68" spans="1:12" ht="15" customHeight="1">
      <c r="A68" s="11" t="s">
        <v>202</v>
      </c>
      <c r="B68" t="s">
        <v>218</v>
      </c>
      <c r="C68">
        <v>1</v>
      </c>
      <c r="D68">
        <v>1</v>
      </c>
      <c r="E68">
        <v>1</v>
      </c>
      <c r="F68">
        <f t="shared" si="0"/>
        <v>3</v>
      </c>
      <c r="J68">
        <v>1</v>
      </c>
      <c r="K68">
        <v>1</v>
      </c>
      <c r="L68">
        <v>1</v>
      </c>
    </row>
    <row r="69" spans="1:12" ht="15" customHeight="1">
      <c r="A69" s="11" t="s">
        <v>202</v>
      </c>
      <c r="B69" t="s">
        <v>219</v>
      </c>
      <c r="C69">
        <v>1</v>
      </c>
      <c r="D69">
        <v>0</v>
      </c>
      <c r="E69">
        <v>0</v>
      </c>
      <c r="F69">
        <f t="shared" si="0"/>
        <v>1</v>
      </c>
      <c r="J69">
        <v>1</v>
      </c>
      <c r="K69">
        <v>1</v>
      </c>
      <c r="L69">
        <v>1</v>
      </c>
    </row>
    <row r="70" spans="1:12" ht="15" customHeight="1">
      <c r="A70" s="11" t="s">
        <v>202</v>
      </c>
      <c r="B70" t="s">
        <v>220</v>
      </c>
      <c r="C70">
        <v>1</v>
      </c>
      <c r="D70">
        <v>0</v>
      </c>
      <c r="E70">
        <v>0</v>
      </c>
      <c r="F70">
        <f t="shared" si="0"/>
        <v>1</v>
      </c>
      <c r="J70">
        <v>1</v>
      </c>
      <c r="K70">
        <v>0</v>
      </c>
      <c r="L70">
        <v>1</v>
      </c>
    </row>
    <row r="71" spans="1:12" ht="15" customHeight="1">
      <c r="A71" s="11" t="s">
        <v>202</v>
      </c>
      <c r="B71" t="s">
        <v>221</v>
      </c>
      <c r="C71">
        <v>1</v>
      </c>
      <c r="D71">
        <v>0</v>
      </c>
      <c r="E71">
        <v>0</v>
      </c>
      <c r="F71">
        <f t="shared" si="0"/>
        <v>1</v>
      </c>
      <c r="J71">
        <v>1</v>
      </c>
      <c r="K71">
        <v>0</v>
      </c>
      <c r="L71">
        <v>1</v>
      </c>
    </row>
    <row r="72" spans="1:12" ht="15" customHeight="1">
      <c r="A72" s="11" t="s">
        <v>202</v>
      </c>
      <c r="B72" t="s">
        <v>222</v>
      </c>
      <c r="C72">
        <v>1</v>
      </c>
      <c r="D72">
        <v>0</v>
      </c>
      <c r="E72">
        <v>0</v>
      </c>
      <c r="F72">
        <f t="shared" si="0"/>
        <v>1</v>
      </c>
      <c r="J72">
        <v>0</v>
      </c>
      <c r="K72">
        <v>1</v>
      </c>
      <c r="L72">
        <v>0</v>
      </c>
    </row>
    <row r="73" spans="1:12" ht="15" customHeight="1">
      <c r="A73" s="11" t="s">
        <v>202</v>
      </c>
      <c r="B73" t="s">
        <v>223</v>
      </c>
      <c r="C73">
        <v>1</v>
      </c>
      <c r="D73">
        <v>0</v>
      </c>
      <c r="E73">
        <v>0</v>
      </c>
      <c r="F73">
        <f t="shared" si="0"/>
        <v>1</v>
      </c>
      <c r="J73">
        <v>1</v>
      </c>
      <c r="K73">
        <v>1</v>
      </c>
      <c r="L73">
        <v>0</v>
      </c>
    </row>
    <row r="74" spans="1:12" ht="15" customHeight="1">
      <c r="A74" s="11" t="s">
        <v>202</v>
      </c>
      <c r="B74" t="s">
        <v>224</v>
      </c>
      <c r="C74">
        <v>1</v>
      </c>
      <c r="D74">
        <v>0</v>
      </c>
      <c r="E74">
        <v>0</v>
      </c>
      <c r="F74">
        <f t="shared" si="0"/>
        <v>1</v>
      </c>
      <c r="J74">
        <v>1</v>
      </c>
      <c r="K74" s="13">
        <v>1</v>
      </c>
      <c r="L74">
        <v>0</v>
      </c>
    </row>
    <row r="75" spans="1:12" ht="15" customHeight="1">
      <c r="A75" s="11" t="s">
        <v>202</v>
      </c>
      <c r="B75" t="s">
        <v>225</v>
      </c>
      <c r="C75">
        <v>1</v>
      </c>
      <c r="D75">
        <v>0</v>
      </c>
      <c r="E75">
        <v>1</v>
      </c>
      <c r="F75">
        <f t="shared" si="0"/>
        <v>2</v>
      </c>
      <c r="J75">
        <v>1</v>
      </c>
      <c r="K75" s="13">
        <v>1</v>
      </c>
      <c r="L75">
        <v>0</v>
      </c>
    </row>
    <row r="76" spans="1:12" ht="15" customHeight="1">
      <c r="A76" s="11" t="s">
        <v>202</v>
      </c>
      <c r="B76" t="s">
        <v>212</v>
      </c>
      <c r="C76">
        <v>1</v>
      </c>
      <c r="D76">
        <v>0</v>
      </c>
      <c r="E76">
        <v>0</v>
      </c>
      <c r="F76">
        <f t="shared" si="0"/>
        <v>1</v>
      </c>
      <c r="J76">
        <v>1</v>
      </c>
      <c r="K76">
        <v>1</v>
      </c>
      <c r="L76">
        <v>0</v>
      </c>
    </row>
    <row r="77" spans="1:12" ht="15" customHeight="1">
      <c r="A77" s="11" t="s">
        <v>202</v>
      </c>
      <c r="B77" t="s">
        <v>226</v>
      </c>
      <c r="C77">
        <v>1</v>
      </c>
      <c r="D77">
        <v>0</v>
      </c>
      <c r="E77">
        <v>1</v>
      </c>
      <c r="F77">
        <f t="shared" si="0"/>
        <v>2</v>
      </c>
      <c r="J77">
        <v>1</v>
      </c>
      <c r="K77">
        <v>0</v>
      </c>
      <c r="L77">
        <v>0</v>
      </c>
    </row>
    <row r="78" spans="1:12" ht="15" customHeight="1">
      <c r="A78" s="11" t="s">
        <v>202</v>
      </c>
      <c r="B78" t="s">
        <v>227</v>
      </c>
      <c r="C78">
        <v>1</v>
      </c>
      <c r="D78">
        <v>0</v>
      </c>
      <c r="E78" s="9">
        <v>1</v>
      </c>
      <c r="F78">
        <f t="shared" si="0"/>
        <v>2</v>
      </c>
      <c r="J78">
        <v>1</v>
      </c>
      <c r="K78" s="9">
        <v>0</v>
      </c>
      <c r="L78" s="9">
        <v>1</v>
      </c>
    </row>
    <row r="79" spans="1:12" ht="15" customHeight="1">
      <c r="A79" s="11" t="s">
        <v>202</v>
      </c>
      <c r="B79" t="s">
        <v>228</v>
      </c>
      <c r="C79">
        <v>0</v>
      </c>
      <c r="D79">
        <v>0</v>
      </c>
      <c r="E79" s="9">
        <v>0</v>
      </c>
      <c r="F79">
        <f t="shared" si="0"/>
        <v>0</v>
      </c>
      <c r="J79">
        <v>1</v>
      </c>
      <c r="K79" s="9">
        <v>0</v>
      </c>
      <c r="L79" s="9">
        <v>1</v>
      </c>
    </row>
    <row r="80" spans="1:12" ht="15" customHeight="1">
      <c r="A80" s="11" t="s">
        <v>202</v>
      </c>
      <c r="B80" t="s">
        <v>229</v>
      </c>
      <c r="C80">
        <v>0</v>
      </c>
      <c r="D80">
        <v>0</v>
      </c>
      <c r="E80" s="9">
        <v>0</v>
      </c>
      <c r="F80">
        <f t="shared" si="0"/>
        <v>0</v>
      </c>
      <c r="J80">
        <v>1</v>
      </c>
      <c r="K80" s="9">
        <v>1</v>
      </c>
      <c r="L80" s="9">
        <v>1</v>
      </c>
    </row>
    <row r="81" spans="1:12" ht="15" customHeight="1">
      <c r="A81" s="11" t="s">
        <v>202</v>
      </c>
      <c r="B81" s="2" t="s">
        <v>174</v>
      </c>
      <c r="C81">
        <v>0</v>
      </c>
      <c r="D81">
        <v>1</v>
      </c>
      <c r="E81" s="9">
        <v>1</v>
      </c>
      <c r="F81">
        <f t="shared" si="0"/>
        <v>2</v>
      </c>
      <c r="J81">
        <v>1</v>
      </c>
      <c r="K81" s="9">
        <v>1</v>
      </c>
      <c r="L81" s="9">
        <v>0</v>
      </c>
    </row>
    <row r="82" spans="1:12" ht="15" customHeight="1">
      <c r="A82" s="11" t="s">
        <v>202</v>
      </c>
      <c r="B82" t="s">
        <v>231</v>
      </c>
      <c r="C82">
        <v>1</v>
      </c>
      <c r="D82">
        <v>0</v>
      </c>
      <c r="E82" s="9">
        <v>1</v>
      </c>
      <c r="F82">
        <f t="shared" si="0"/>
        <v>2</v>
      </c>
      <c r="J82">
        <v>0</v>
      </c>
      <c r="K82" s="9">
        <v>1</v>
      </c>
      <c r="L82" s="9">
        <v>1</v>
      </c>
    </row>
    <row r="83" spans="1:12" ht="15" customHeight="1">
      <c r="A83" s="11" t="s">
        <v>202</v>
      </c>
      <c r="B83" t="s">
        <v>175</v>
      </c>
      <c r="C83">
        <v>1</v>
      </c>
      <c r="D83">
        <v>1</v>
      </c>
      <c r="E83" s="9">
        <v>1</v>
      </c>
      <c r="F83">
        <f t="shared" si="0"/>
        <v>3</v>
      </c>
      <c r="J83">
        <v>1</v>
      </c>
      <c r="K83" s="9">
        <v>0</v>
      </c>
      <c r="L83" s="9">
        <v>0</v>
      </c>
    </row>
    <row r="84" spans="1:12" ht="15" customHeight="1">
      <c r="A84" s="11" t="s">
        <v>202</v>
      </c>
      <c r="B84" t="s">
        <v>232</v>
      </c>
      <c r="C84">
        <v>0</v>
      </c>
      <c r="D84">
        <v>0</v>
      </c>
      <c r="E84" s="9">
        <v>1</v>
      </c>
      <c r="F84">
        <f t="shared" si="0"/>
        <v>1</v>
      </c>
      <c r="J84">
        <v>1</v>
      </c>
      <c r="K84" s="9">
        <v>0</v>
      </c>
      <c r="L84" s="9">
        <v>0</v>
      </c>
    </row>
    <row r="85" spans="1:12" ht="15" customHeight="1">
      <c r="A85" s="11" t="s">
        <v>202</v>
      </c>
      <c r="B85" t="s">
        <v>233</v>
      </c>
      <c r="C85">
        <v>0</v>
      </c>
      <c r="D85">
        <v>0</v>
      </c>
      <c r="E85" s="9">
        <v>0</v>
      </c>
      <c r="F85">
        <f t="shared" si="0"/>
        <v>0</v>
      </c>
      <c r="J85">
        <v>1</v>
      </c>
      <c r="K85" s="9">
        <v>1</v>
      </c>
      <c r="L85" s="9">
        <v>0</v>
      </c>
    </row>
    <row r="86" spans="1:12" ht="15" customHeight="1">
      <c r="A86" s="11" t="s">
        <v>202</v>
      </c>
      <c r="B86" t="s">
        <v>234</v>
      </c>
      <c r="C86">
        <v>0</v>
      </c>
      <c r="D86">
        <v>0</v>
      </c>
      <c r="E86" s="9">
        <v>1</v>
      </c>
      <c r="F86">
        <f t="shared" si="0"/>
        <v>1</v>
      </c>
      <c r="J86">
        <v>1</v>
      </c>
      <c r="K86" s="9">
        <v>1</v>
      </c>
      <c r="L86" s="9">
        <v>0</v>
      </c>
    </row>
    <row r="87" spans="1:12" ht="15" customHeight="1">
      <c r="A87" s="11" t="s">
        <v>202</v>
      </c>
      <c r="B87" t="s">
        <v>235</v>
      </c>
      <c r="C87">
        <v>0</v>
      </c>
      <c r="D87">
        <v>0</v>
      </c>
      <c r="E87" s="9">
        <v>1</v>
      </c>
      <c r="F87">
        <f t="shared" si="0"/>
        <v>1</v>
      </c>
      <c r="J87">
        <v>1</v>
      </c>
      <c r="K87" s="9">
        <v>1</v>
      </c>
      <c r="L87" s="9">
        <v>0</v>
      </c>
    </row>
    <row r="88" spans="1:12" ht="15" customHeight="1">
      <c r="A88" s="11" t="s">
        <v>202</v>
      </c>
      <c r="B88" t="s">
        <v>236</v>
      </c>
      <c r="C88">
        <v>1</v>
      </c>
      <c r="D88">
        <v>1</v>
      </c>
      <c r="E88" s="9">
        <v>1</v>
      </c>
      <c r="F88">
        <f t="shared" si="0"/>
        <v>3</v>
      </c>
      <c r="J88">
        <v>0</v>
      </c>
      <c r="K88" s="9">
        <v>0</v>
      </c>
      <c r="L88" s="9">
        <v>1</v>
      </c>
    </row>
    <row r="89" spans="1:12" ht="15" customHeight="1">
      <c r="A89" s="11" t="s">
        <v>202</v>
      </c>
      <c r="B89" t="s">
        <v>237</v>
      </c>
      <c r="C89">
        <v>1</v>
      </c>
      <c r="D89">
        <v>0</v>
      </c>
      <c r="E89">
        <v>1</v>
      </c>
      <c r="F89">
        <f t="shared" ref="F89:F152" si="1">SUM(C89:E89)</f>
        <v>2</v>
      </c>
      <c r="J89">
        <v>1</v>
      </c>
      <c r="K89">
        <v>0</v>
      </c>
      <c r="L89">
        <v>0</v>
      </c>
    </row>
    <row r="90" spans="1:12" ht="15" customHeight="1">
      <c r="A90" s="11" t="s">
        <v>202</v>
      </c>
      <c r="B90" t="s">
        <v>179</v>
      </c>
      <c r="C90">
        <v>1</v>
      </c>
      <c r="D90">
        <v>0</v>
      </c>
      <c r="E90">
        <v>0</v>
      </c>
      <c r="F90">
        <f t="shared" si="1"/>
        <v>1</v>
      </c>
      <c r="J90">
        <v>0</v>
      </c>
      <c r="K90">
        <v>1</v>
      </c>
      <c r="L90">
        <v>0</v>
      </c>
    </row>
    <row r="91" spans="1:12" ht="15" customHeight="1">
      <c r="A91" s="11" t="s">
        <v>202</v>
      </c>
      <c r="B91" s="10" t="s">
        <v>180</v>
      </c>
      <c r="C91">
        <v>0</v>
      </c>
      <c r="D91">
        <v>0</v>
      </c>
      <c r="E91">
        <v>1</v>
      </c>
      <c r="F91">
        <f t="shared" si="1"/>
        <v>1</v>
      </c>
      <c r="J91">
        <v>0</v>
      </c>
      <c r="K91">
        <v>1</v>
      </c>
      <c r="L91">
        <v>0</v>
      </c>
    </row>
    <row r="92" spans="1:12" ht="15" customHeight="1">
      <c r="A92" s="11" t="s">
        <v>202</v>
      </c>
      <c r="B92" t="s">
        <v>181</v>
      </c>
      <c r="C92">
        <v>1</v>
      </c>
      <c r="D92">
        <v>0</v>
      </c>
      <c r="E92">
        <v>0</v>
      </c>
      <c r="F92">
        <f t="shared" si="1"/>
        <v>1</v>
      </c>
      <c r="J92">
        <v>1</v>
      </c>
      <c r="K92">
        <v>0</v>
      </c>
      <c r="L92">
        <v>0</v>
      </c>
    </row>
    <row r="93" spans="1:12" ht="15" customHeight="1">
      <c r="A93" s="11" t="s">
        <v>202</v>
      </c>
      <c r="B93" t="s">
        <v>182</v>
      </c>
      <c r="C93">
        <v>1</v>
      </c>
      <c r="D93">
        <v>1</v>
      </c>
      <c r="E93">
        <v>1</v>
      </c>
      <c r="F93">
        <f t="shared" si="1"/>
        <v>3</v>
      </c>
      <c r="J93">
        <v>0</v>
      </c>
      <c r="K93">
        <v>1</v>
      </c>
      <c r="L93">
        <v>0</v>
      </c>
    </row>
    <row r="94" spans="1:12" ht="15" customHeight="1">
      <c r="A94" s="11" t="s">
        <v>202</v>
      </c>
      <c r="B94" t="s">
        <v>183</v>
      </c>
      <c r="C94">
        <v>1</v>
      </c>
      <c r="D94">
        <v>0</v>
      </c>
      <c r="E94">
        <v>1</v>
      </c>
      <c r="F94">
        <f t="shared" si="1"/>
        <v>2</v>
      </c>
      <c r="J94">
        <v>1</v>
      </c>
      <c r="K94">
        <v>1</v>
      </c>
      <c r="L94">
        <v>1</v>
      </c>
    </row>
    <row r="95" spans="1:12" ht="15" customHeight="1">
      <c r="A95" s="11" t="s">
        <v>202</v>
      </c>
      <c r="B95" t="s">
        <v>184</v>
      </c>
      <c r="C95">
        <v>1</v>
      </c>
      <c r="D95">
        <v>1</v>
      </c>
      <c r="E95" s="9">
        <v>1</v>
      </c>
      <c r="F95">
        <f t="shared" si="1"/>
        <v>3</v>
      </c>
      <c r="J95">
        <v>1</v>
      </c>
      <c r="K95" s="9">
        <v>0</v>
      </c>
      <c r="L95" s="9">
        <v>1</v>
      </c>
    </row>
    <row r="96" spans="1:12" ht="15" customHeight="1">
      <c r="A96" s="11" t="s">
        <v>202</v>
      </c>
      <c r="B96" t="s">
        <v>186</v>
      </c>
      <c r="C96">
        <v>0</v>
      </c>
      <c r="D96">
        <v>0</v>
      </c>
      <c r="E96" s="9">
        <v>0</v>
      </c>
      <c r="F96">
        <f t="shared" si="1"/>
        <v>0</v>
      </c>
      <c r="J96">
        <v>1</v>
      </c>
      <c r="K96" s="9">
        <v>0</v>
      </c>
      <c r="L96" s="9">
        <v>0</v>
      </c>
    </row>
    <row r="97" spans="1:12" ht="15" customHeight="1">
      <c r="A97" s="11" t="s">
        <v>202</v>
      </c>
      <c r="B97" t="s">
        <v>187</v>
      </c>
      <c r="C97">
        <v>0</v>
      </c>
      <c r="D97">
        <v>0</v>
      </c>
      <c r="E97" s="9">
        <v>0</v>
      </c>
      <c r="F97">
        <f t="shared" si="1"/>
        <v>0</v>
      </c>
      <c r="J97">
        <v>1</v>
      </c>
      <c r="K97" s="9">
        <v>1</v>
      </c>
      <c r="L97" s="9">
        <v>0</v>
      </c>
    </row>
    <row r="98" spans="1:12" ht="15" customHeight="1">
      <c r="A98" s="11" t="s">
        <v>202</v>
      </c>
      <c r="B98" t="s">
        <v>189</v>
      </c>
      <c r="C98">
        <v>0</v>
      </c>
      <c r="D98">
        <v>1</v>
      </c>
      <c r="E98" s="9">
        <v>0</v>
      </c>
      <c r="F98">
        <f t="shared" si="1"/>
        <v>1</v>
      </c>
      <c r="J98">
        <v>1</v>
      </c>
      <c r="K98" s="9">
        <v>1</v>
      </c>
      <c r="L98" s="9">
        <v>0</v>
      </c>
    </row>
    <row r="99" spans="1:12" ht="15" customHeight="1">
      <c r="A99" s="11" t="s">
        <v>202</v>
      </c>
      <c r="B99" t="s">
        <v>238</v>
      </c>
      <c r="C99">
        <v>0</v>
      </c>
      <c r="D99">
        <v>0</v>
      </c>
      <c r="E99">
        <v>0</v>
      </c>
      <c r="F99">
        <f t="shared" si="1"/>
        <v>0</v>
      </c>
      <c r="J99">
        <v>0</v>
      </c>
      <c r="K99">
        <v>0</v>
      </c>
      <c r="L99">
        <v>0</v>
      </c>
    </row>
    <row r="100" spans="1:12" ht="15" customHeight="1">
      <c r="A100" s="11" t="s">
        <v>202</v>
      </c>
      <c r="B100" t="s">
        <v>239</v>
      </c>
      <c r="C100">
        <v>0</v>
      </c>
      <c r="D100">
        <v>1</v>
      </c>
      <c r="E100">
        <v>1</v>
      </c>
      <c r="F100">
        <f t="shared" si="1"/>
        <v>2</v>
      </c>
      <c r="J100">
        <v>1</v>
      </c>
      <c r="K100">
        <v>0</v>
      </c>
      <c r="L100">
        <v>0</v>
      </c>
    </row>
    <row r="101" spans="1:12" ht="15" customHeight="1">
      <c r="A101" s="11" t="s">
        <v>202</v>
      </c>
      <c r="B101" t="s">
        <v>240</v>
      </c>
      <c r="C101">
        <v>0</v>
      </c>
      <c r="D101">
        <v>0</v>
      </c>
      <c r="E101">
        <v>1</v>
      </c>
      <c r="F101">
        <f t="shared" si="1"/>
        <v>1</v>
      </c>
      <c r="J101">
        <v>1</v>
      </c>
      <c r="K101">
        <v>0</v>
      </c>
      <c r="L101">
        <v>0</v>
      </c>
    </row>
    <row r="102" spans="1:12" ht="15" customHeight="1">
      <c r="A102" s="11" t="s">
        <v>202</v>
      </c>
      <c r="B102" s="2" t="s">
        <v>242</v>
      </c>
      <c r="C102">
        <v>1</v>
      </c>
      <c r="D102">
        <v>1</v>
      </c>
      <c r="E102">
        <v>1</v>
      </c>
      <c r="F102">
        <f t="shared" si="1"/>
        <v>3</v>
      </c>
      <c r="J102">
        <v>1</v>
      </c>
      <c r="K102">
        <v>1</v>
      </c>
      <c r="L102">
        <v>1</v>
      </c>
    </row>
    <row r="103" spans="1:12" ht="15" customHeight="1">
      <c r="A103" s="11" t="s">
        <v>202</v>
      </c>
      <c r="B103" t="s">
        <v>243</v>
      </c>
      <c r="C103">
        <v>1</v>
      </c>
      <c r="D103">
        <v>0</v>
      </c>
      <c r="E103">
        <v>1</v>
      </c>
      <c r="F103">
        <f t="shared" si="1"/>
        <v>2</v>
      </c>
      <c r="J103">
        <v>0</v>
      </c>
      <c r="K103">
        <v>1</v>
      </c>
      <c r="L103">
        <v>1</v>
      </c>
    </row>
    <row r="104" spans="1:12" ht="15" customHeight="1">
      <c r="A104" s="11" t="s">
        <v>202</v>
      </c>
      <c r="B104" t="s">
        <v>244</v>
      </c>
      <c r="C104">
        <v>0</v>
      </c>
      <c r="D104">
        <v>1</v>
      </c>
      <c r="E104">
        <v>1</v>
      </c>
      <c r="F104">
        <f t="shared" si="1"/>
        <v>2</v>
      </c>
      <c r="J104">
        <v>0</v>
      </c>
      <c r="K104">
        <v>1</v>
      </c>
      <c r="L104">
        <v>0</v>
      </c>
    </row>
    <row r="105" spans="1:12" ht="15" customHeight="1">
      <c r="A105" s="11" t="s">
        <v>202</v>
      </c>
      <c r="B105" t="s">
        <v>245</v>
      </c>
      <c r="C105">
        <v>1</v>
      </c>
      <c r="D105">
        <v>0</v>
      </c>
      <c r="E105">
        <v>1</v>
      </c>
      <c r="F105">
        <f t="shared" si="1"/>
        <v>2</v>
      </c>
      <c r="J105">
        <v>0</v>
      </c>
      <c r="K105">
        <v>1</v>
      </c>
      <c r="L105">
        <v>1</v>
      </c>
    </row>
    <row r="106" spans="1:12" ht="15" customHeight="1">
      <c r="A106" s="11" t="s">
        <v>202</v>
      </c>
      <c r="B106" t="s">
        <v>246</v>
      </c>
      <c r="C106">
        <v>0</v>
      </c>
      <c r="D106">
        <v>0</v>
      </c>
      <c r="E106">
        <v>1</v>
      </c>
      <c r="F106">
        <f t="shared" si="1"/>
        <v>1</v>
      </c>
      <c r="J106">
        <v>1</v>
      </c>
      <c r="K106">
        <v>0</v>
      </c>
      <c r="L106">
        <v>1</v>
      </c>
    </row>
    <row r="107" spans="1:12" ht="15" customHeight="1">
      <c r="A107" s="11" t="s">
        <v>202</v>
      </c>
      <c r="B107" t="s">
        <v>247</v>
      </c>
      <c r="C107">
        <v>0</v>
      </c>
      <c r="D107">
        <v>0</v>
      </c>
      <c r="E107">
        <v>0</v>
      </c>
      <c r="F107">
        <f t="shared" si="1"/>
        <v>0</v>
      </c>
      <c r="J107">
        <v>0</v>
      </c>
      <c r="K107">
        <v>0</v>
      </c>
      <c r="L107">
        <v>0</v>
      </c>
    </row>
    <row r="108" spans="1:12" ht="15" customHeight="1">
      <c r="A108" s="11" t="s">
        <v>202</v>
      </c>
      <c r="B108" t="s">
        <v>248</v>
      </c>
      <c r="C108">
        <v>0</v>
      </c>
      <c r="D108">
        <v>0</v>
      </c>
      <c r="E108">
        <v>0</v>
      </c>
      <c r="F108">
        <f t="shared" si="1"/>
        <v>0</v>
      </c>
      <c r="J108">
        <v>0</v>
      </c>
      <c r="K108">
        <v>0</v>
      </c>
      <c r="L108">
        <v>1</v>
      </c>
    </row>
    <row r="109" spans="1:12" ht="15" customHeight="1">
      <c r="A109" s="11" t="s">
        <v>202</v>
      </c>
      <c r="B109" t="s">
        <v>249</v>
      </c>
      <c r="C109">
        <v>0</v>
      </c>
      <c r="D109">
        <v>0</v>
      </c>
      <c r="E109">
        <v>0</v>
      </c>
      <c r="F109">
        <f t="shared" si="1"/>
        <v>0</v>
      </c>
      <c r="J109">
        <v>1</v>
      </c>
      <c r="K109">
        <v>0</v>
      </c>
      <c r="L109">
        <v>0</v>
      </c>
    </row>
    <row r="110" spans="1:12" ht="15" customHeight="1">
      <c r="A110" s="11" t="s">
        <v>202</v>
      </c>
      <c r="B110" t="s">
        <v>250</v>
      </c>
      <c r="C110">
        <v>0</v>
      </c>
      <c r="D110">
        <v>0</v>
      </c>
      <c r="E110">
        <v>0</v>
      </c>
      <c r="F110">
        <f t="shared" si="1"/>
        <v>0</v>
      </c>
      <c r="J110">
        <v>0</v>
      </c>
      <c r="K110">
        <v>1</v>
      </c>
      <c r="L110">
        <v>0</v>
      </c>
    </row>
    <row r="111" spans="1:12" ht="15" customHeight="1">
      <c r="A111" s="11" t="s">
        <v>202</v>
      </c>
      <c r="B111" t="s">
        <v>251</v>
      </c>
      <c r="C111">
        <v>0</v>
      </c>
      <c r="D111">
        <v>0</v>
      </c>
      <c r="E111">
        <v>1</v>
      </c>
      <c r="F111">
        <f t="shared" si="1"/>
        <v>1</v>
      </c>
      <c r="J111">
        <v>0</v>
      </c>
      <c r="K111">
        <v>1</v>
      </c>
      <c r="L111">
        <v>0</v>
      </c>
    </row>
    <row r="112" spans="1:12" ht="15" customHeight="1">
      <c r="A112" s="11" t="s">
        <v>202</v>
      </c>
      <c r="B112" t="s">
        <v>252</v>
      </c>
      <c r="C112">
        <v>1</v>
      </c>
      <c r="D112">
        <v>1</v>
      </c>
      <c r="E112">
        <v>1</v>
      </c>
      <c r="F112">
        <f t="shared" si="1"/>
        <v>3</v>
      </c>
      <c r="J112">
        <v>1</v>
      </c>
      <c r="K112">
        <v>1</v>
      </c>
      <c r="L112">
        <v>0</v>
      </c>
    </row>
    <row r="113" spans="1:12" ht="15" customHeight="1">
      <c r="A113" s="11" t="s">
        <v>202</v>
      </c>
      <c r="B113" t="s">
        <v>253</v>
      </c>
      <c r="C113">
        <v>1</v>
      </c>
      <c r="D113">
        <v>1</v>
      </c>
      <c r="E113">
        <v>1</v>
      </c>
      <c r="F113">
        <f t="shared" si="1"/>
        <v>3</v>
      </c>
      <c r="J113">
        <v>0</v>
      </c>
      <c r="K113">
        <v>1</v>
      </c>
      <c r="L113">
        <v>0</v>
      </c>
    </row>
    <row r="114" spans="1:12" ht="15" customHeight="1">
      <c r="A114" s="11" t="s">
        <v>202</v>
      </c>
      <c r="B114" t="s">
        <v>254</v>
      </c>
      <c r="C114">
        <v>0</v>
      </c>
      <c r="D114">
        <v>0</v>
      </c>
      <c r="E114">
        <v>0</v>
      </c>
      <c r="F114">
        <f t="shared" si="1"/>
        <v>0</v>
      </c>
      <c r="J114">
        <v>1</v>
      </c>
      <c r="K114">
        <v>1</v>
      </c>
      <c r="L114">
        <v>0</v>
      </c>
    </row>
    <row r="115" spans="1:12" ht="15" customHeight="1">
      <c r="A115" s="11" t="s">
        <v>202</v>
      </c>
      <c r="B115" t="s">
        <v>255</v>
      </c>
      <c r="C115">
        <v>0</v>
      </c>
      <c r="D115">
        <v>0</v>
      </c>
      <c r="E115">
        <v>1</v>
      </c>
      <c r="F115">
        <f t="shared" si="1"/>
        <v>1</v>
      </c>
      <c r="J115">
        <v>0</v>
      </c>
      <c r="K115">
        <v>1</v>
      </c>
      <c r="L115">
        <v>0</v>
      </c>
    </row>
    <row r="116" spans="1:12" ht="15" customHeight="1">
      <c r="A116" s="16" t="s">
        <v>256</v>
      </c>
      <c r="B116" s="17" t="s">
        <v>258</v>
      </c>
      <c r="C116">
        <v>1</v>
      </c>
      <c r="D116">
        <v>1</v>
      </c>
      <c r="E116">
        <v>1</v>
      </c>
      <c r="F116">
        <f t="shared" si="1"/>
        <v>3</v>
      </c>
      <c r="J116">
        <v>0</v>
      </c>
      <c r="K116">
        <v>1</v>
      </c>
      <c r="L116">
        <v>1</v>
      </c>
    </row>
    <row r="117" spans="1:12" ht="15" customHeight="1">
      <c r="A117" t="s">
        <v>256</v>
      </c>
      <c r="B117" t="s">
        <v>259</v>
      </c>
      <c r="C117">
        <v>1</v>
      </c>
      <c r="D117">
        <v>1</v>
      </c>
      <c r="E117">
        <v>1</v>
      </c>
      <c r="F117">
        <f t="shared" si="1"/>
        <v>3</v>
      </c>
      <c r="J117">
        <v>0</v>
      </c>
      <c r="K117">
        <v>1</v>
      </c>
      <c r="L117">
        <v>1</v>
      </c>
    </row>
    <row r="118" spans="1:12" ht="15" customHeight="1">
      <c r="A118" t="s">
        <v>256</v>
      </c>
      <c r="B118" t="s">
        <v>260</v>
      </c>
      <c r="C118">
        <v>0</v>
      </c>
      <c r="D118">
        <v>0</v>
      </c>
      <c r="E118">
        <v>1</v>
      </c>
      <c r="F118">
        <f t="shared" si="1"/>
        <v>1</v>
      </c>
      <c r="J118">
        <v>0</v>
      </c>
      <c r="K118">
        <v>0</v>
      </c>
      <c r="L118">
        <v>1</v>
      </c>
    </row>
    <row r="119" spans="1:12" ht="15" customHeight="1">
      <c r="A119" t="s">
        <v>256</v>
      </c>
      <c r="B119" t="s">
        <v>261</v>
      </c>
      <c r="C119">
        <v>0</v>
      </c>
      <c r="D119">
        <v>0</v>
      </c>
      <c r="E119">
        <v>1</v>
      </c>
      <c r="F119">
        <f t="shared" si="1"/>
        <v>1</v>
      </c>
      <c r="J119">
        <v>0</v>
      </c>
      <c r="K119">
        <v>0</v>
      </c>
      <c r="L119">
        <v>1</v>
      </c>
    </row>
    <row r="120" spans="1:12" ht="15" customHeight="1">
      <c r="A120" t="s">
        <v>256</v>
      </c>
      <c r="B120" t="s">
        <v>262</v>
      </c>
      <c r="C120">
        <v>0</v>
      </c>
      <c r="D120">
        <v>0</v>
      </c>
      <c r="E120">
        <v>1</v>
      </c>
      <c r="F120">
        <f t="shared" si="1"/>
        <v>1</v>
      </c>
      <c r="J120">
        <v>0</v>
      </c>
      <c r="K120">
        <v>1</v>
      </c>
      <c r="L120">
        <v>0</v>
      </c>
    </row>
    <row r="121" spans="1:12" ht="15" customHeight="1">
      <c r="A121" t="s">
        <v>256</v>
      </c>
      <c r="B121" t="s">
        <v>263</v>
      </c>
      <c r="C121">
        <v>1</v>
      </c>
      <c r="D121">
        <v>1</v>
      </c>
      <c r="E121">
        <v>1</v>
      </c>
      <c r="F121">
        <f t="shared" si="1"/>
        <v>3</v>
      </c>
      <c r="J121">
        <v>0</v>
      </c>
      <c r="K121">
        <v>1</v>
      </c>
      <c r="L121">
        <v>1</v>
      </c>
    </row>
    <row r="122" spans="1:12" ht="15" customHeight="1">
      <c r="A122" t="s">
        <v>256</v>
      </c>
      <c r="B122" t="s">
        <v>264</v>
      </c>
      <c r="C122">
        <v>0</v>
      </c>
      <c r="D122">
        <v>0</v>
      </c>
      <c r="E122">
        <v>1</v>
      </c>
      <c r="F122">
        <f t="shared" si="1"/>
        <v>1</v>
      </c>
      <c r="J122">
        <v>0</v>
      </c>
      <c r="K122">
        <v>1</v>
      </c>
      <c r="L122">
        <v>1</v>
      </c>
    </row>
    <row r="123" spans="1:12" ht="15" customHeight="1">
      <c r="A123" t="s">
        <v>256</v>
      </c>
      <c r="B123" t="s">
        <v>265</v>
      </c>
      <c r="C123">
        <v>1</v>
      </c>
      <c r="D123">
        <v>1</v>
      </c>
      <c r="E123">
        <v>1</v>
      </c>
      <c r="F123">
        <f t="shared" si="1"/>
        <v>3</v>
      </c>
      <c r="J123">
        <v>0</v>
      </c>
      <c r="K123">
        <v>1</v>
      </c>
      <c r="L123">
        <v>1</v>
      </c>
    </row>
    <row r="124" spans="1:12" ht="15" customHeight="1">
      <c r="A124" t="s">
        <v>256</v>
      </c>
      <c r="B124" t="s">
        <v>266</v>
      </c>
      <c r="C124">
        <v>1</v>
      </c>
      <c r="D124">
        <v>0</v>
      </c>
      <c r="E124">
        <v>1</v>
      </c>
      <c r="F124">
        <f t="shared" si="1"/>
        <v>2</v>
      </c>
      <c r="J124">
        <v>0</v>
      </c>
      <c r="K124">
        <v>1</v>
      </c>
      <c r="L124">
        <v>1</v>
      </c>
    </row>
    <row r="125" spans="1:12" ht="15" customHeight="1">
      <c r="A125" t="s">
        <v>256</v>
      </c>
      <c r="B125" t="s">
        <v>267</v>
      </c>
      <c r="C125">
        <v>1</v>
      </c>
      <c r="D125">
        <v>1</v>
      </c>
      <c r="E125">
        <v>0</v>
      </c>
      <c r="F125">
        <f t="shared" si="1"/>
        <v>2</v>
      </c>
      <c r="J125">
        <v>0</v>
      </c>
      <c r="K125">
        <v>1</v>
      </c>
      <c r="L125">
        <v>1</v>
      </c>
    </row>
    <row r="126" spans="1:12" ht="15" customHeight="1">
      <c r="A126" t="s">
        <v>256</v>
      </c>
      <c r="B126" t="s">
        <v>268</v>
      </c>
      <c r="C126">
        <v>1</v>
      </c>
      <c r="D126">
        <v>0</v>
      </c>
      <c r="E126">
        <v>1</v>
      </c>
      <c r="F126">
        <f t="shared" si="1"/>
        <v>2</v>
      </c>
      <c r="J126">
        <v>0</v>
      </c>
      <c r="K126">
        <v>1</v>
      </c>
      <c r="L126">
        <v>1</v>
      </c>
    </row>
    <row r="127" spans="1:12" ht="15" customHeight="1">
      <c r="A127" t="s">
        <v>256</v>
      </c>
      <c r="B127" t="s">
        <v>269</v>
      </c>
      <c r="C127">
        <v>1</v>
      </c>
      <c r="D127">
        <v>1</v>
      </c>
      <c r="E127">
        <v>1</v>
      </c>
      <c r="F127">
        <f t="shared" si="1"/>
        <v>3</v>
      </c>
      <c r="J127">
        <v>0</v>
      </c>
      <c r="K127">
        <v>1</v>
      </c>
      <c r="L127">
        <v>1</v>
      </c>
    </row>
    <row r="128" spans="1:12" ht="15" customHeight="1">
      <c r="A128" t="s">
        <v>256</v>
      </c>
      <c r="B128" t="s">
        <v>270</v>
      </c>
      <c r="C128">
        <v>0</v>
      </c>
      <c r="D128">
        <v>0</v>
      </c>
      <c r="E128">
        <v>1</v>
      </c>
      <c r="F128">
        <f t="shared" si="1"/>
        <v>1</v>
      </c>
      <c r="J128">
        <v>0</v>
      </c>
      <c r="K128">
        <v>1</v>
      </c>
      <c r="L128">
        <v>0</v>
      </c>
    </row>
    <row r="129" spans="1:12" ht="15" customHeight="1">
      <c r="A129" t="s">
        <v>256</v>
      </c>
      <c r="B129" t="s">
        <v>271</v>
      </c>
      <c r="C129">
        <v>0</v>
      </c>
      <c r="D129">
        <v>0</v>
      </c>
      <c r="E129">
        <v>1</v>
      </c>
      <c r="F129">
        <f t="shared" si="1"/>
        <v>1</v>
      </c>
      <c r="J129">
        <v>0</v>
      </c>
      <c r="K129">
        <v>1</v>
      </c>
      <c r="L129">
        <v>1</v>
      </c>
    </row>
    <row r="130" spans="1:12" ht="15" customHeight="1">
      <c r="A130" t="s">
        <v>256</v>
      </c>
      <c r="B130" t="s">
        <v>272</v>
      </c>
      <c r="C130">
        <v>0</v>
      </c>
      <c r="D130">
        <v>0</v>
      </c>
      <c r="E130">
        <v>1</v>
      </c>
      <c r="F130">
        <f t="shared" si="1"/>
        <v>1</v>
      </c>
      <c r="J130">
        <v>0</v>
      </c>
      <c r="K130">
        <v>1</v>
      </c>
      <c r="L130">
        <v>0</v>
      </c>
    </row>
    <row r="131" spans="1:12" ht="15" customHeight="1">
      <c r="A131" t="s">
        <v>256</v>
      </c>
      <c r="B131" t="s">
        <v>273</v>
      </c>
      <c r="C131">
        <v>1</v>
      </c>
      <c r="D131">
        <v>0</v>
      </c>
      <c r="E131">
        <v>1</v>
      </c>
      <c r="F131">
        <f t="shared" si="1"/>
        <v>2</v>
      </c>
      <c r="J131">
        <v>0</v>
      </c>
      <c r="K131">
        <v>1</v>
      </c>
      <c r="L131">
        <v>1</v>
      </c>
    </row>
    <row r="132" spans="1:12" ht="15" customHeight="1">
      <c r="A132" t="s">
        <v>256</v>
      </c>
      <c r="B132" t="s">
        <v>274</v>
      </c>
      <c r="C132">
        <v>1</v>
      </c>
      <c r="D132">
        <v>0</v>
      </c>
      <c r="E132">
        <v>1</v>
      </c>
      <c r="F132">
        <f t="shared" si="1"/>
        <v>2</v>
      </c>
      <c r="J132">
        <v>0</v>
      </c>
      <c r="K132">
        <v>1</v>
      </c>
      <c r="L132">
        <v>0</v>
      </c>
    </row>
    <row r="133" spans="1:12" ht="15" customHeight="1">
      <c r="A133" t="s">
        <v>256</v>
      </c>
      <c r="B133" s="8" t="s">
        <v>276</v>
      </c>
      <c r="C133">
        <v>1</v>
      </c>
      <c r="D133">
        <v>1</v>
      </c>
      <c r="E133">
        <v>1</v>
      </c>
      <c r="F133">
        <f t="shared" si="1"/>
        <v>3</v>
      </c>
      <c r="J133">
        <v>0</v>
      </c>
      <c r="K133">
        <v>1</v>
      </c>
      <c r="L133">
        <v>1</v>
      </c>
    </row>
    <row r="134" spans="1:12" ht="15" customHeight="1">
      <c r="A134" t="s">
        <v>256</v>
      </c>
      <c r="B134" t="s">
        <v>277</v>
      </c>
      <c r="C134">
        <v>1</v>
      </c>
      <c r="D134">
        <v>1</v>
      </c>
      <c r="E134">
        <v>1</v>
      </c>
      <c r="F134">
        <f t="shared" si="1"/>
        <v>3</v>
      </c>
      <c r="J134">
        <v>0</v>
      </c>
      <c r="K134">
        <v>1</v>
      </c>
      <c r="L134">
        <v>1</v>
      </c>
    </row>
    <row r="135" spans="1:12" ht="15" customHeight="1">
      <c r="A135" t="s">
        <v>256</v>
      </c>
      <c r="B135" t="s">
        <v>278</v>
      </c>
      <c r="C135">
        <v>1</v>
      </c>
      <c r="D135">
        <v>1</v>
      </c>
      <c r="E135">
        <v>1</v>
      </c>
      <c r="F135">
        <f t="shared" si="1"/>
        <v>3</v>
      </c>
      <c r="J135">
        <v>0</v>
      </c>
      <c r="K135">
        <v>1</v>
      </c>
      <c r="L135">
        <v>1</v>
      </c>
    </row>
    <row r="136" spans="1:12" ht="15" customHeight="1">
      <c r="A136" t="s">
        <v>256</v>
      </c>
      <c r="B136" t="s">
        <v>279</v>
      </c>
      <c r="C136">
        <v>0</v>
      </c>
      <c r="D136">
        <v>0</v>
      </c>
      <c r="E136">
        <v>1</v>
      </c>
      <c r="F136">
        <f t="shared" si="1"/>
        <v>1</v>
      </c>
      <c r="J136">
        <v>0</v>
      </c>
      <c r="K136">
        <v>1</v>
      </c>
      <c r="L136">
        <v>1</v>
      </c>
    </row>
    <row r="137" spans="1:12" ht="15" customHeight="1">
      <c r="A137" t="s">
        <v>256</v>
      </c>
      <c r="B137" t="s">
        <v>280</v>
      </c>
      <c r="C137">
        <v>1</v>
      </c>
      <c r="D137">
        <v>1</v>
      </c>
      <c r="E137">
        <v>1</v>
      </c>
      <c r="F137">
        <f t="shared" si="1"/>
        <v>3</v>
      </c>
      <c r="J137">
        <v>0</v>
      </c>
      <c r="K137">
        <v>1</v>
      </c>
      <c r="L137">
        <v>0</v>
      </c>
    </row>
    <row r="138" spans="1:12" ht="15" customHeight="1">
      <c r="A138" t="s">
        <v>256</v>
      </c>
      <c r="B138" t="s">
        <v>281</v>
      </c>
      <c r="C138">
        <v>0</v>
      </c>
      <c r="D138">
        <v>0</v>
      </c>
      <c r="E138">
        <v>0</v>
      </c>
      <c r="F138">
        <f t="shared" si="1"/>
        <v>0</v>
      </c>
      <c r="J138">
        <v>0</v>
      </c>
      <c r="K138">
        <v>0</v>
      </c>
      <c r="L138">
        <v>1</v>
      </c>
    </row>
    <row r="139" spans="1:12" ht="15" customHeight="1">
      <c r="A139" t="s">
        <v>256</v>
      </c>
      <c r="B139" t="s">
        <v>282</v>
      </c>
      <c r="C139">
        <v>1</v>
      </c>
      <c r="D139">
        <v>1</v>
      </c>
      <c r="E139">
        <v>1</v>
      </c>
      <c r="F139">
        <f t="shared" si="1"/>
        <v>3</v>
      </c>
      <c r="J139">
        <v>0</v>
      </c>
      <c r="K139">
        <v>1</v>
      </c>
      <c r="L139">
        <v>0</v>
      </c>
    </row>
    <row r="140" spans="1:12" ht="15" customHeight="1">
      <c r="A140" t="s">
        <v>256</v>
      </c>
      <c r="B140" t="s">
        <v>283</v>
      </c>
      <c r="C140">
        <v>1</v>
      </c>
      <c r="D140">
        <v>1</v>
      </c>
      <c r="E140">
        <v>1</v>
      </c>
      <c r="F140">
        <f t="shared" si="1"/>
        <v>3</v>
      </c>
      <c r="J140">
        <v>0</v>
      </c>
      <c r="K140">
        <v>1</v>
      </c>
      <c r="L140">
        <v>0</v>
      </c>
    </row>
    <row r="141" spans="1:12" ht="15" customHeight="1">
      <c r="A141" t="s">
        <v>256</v>
      </c>
      <c r="B141" t="s">
        <v>284</v>
      </c>
      <c r="C141">
        <v>0</v>
      </c>
      <c r="D141">
        <v>0</v>
      </c>
      <c r="E141">
        <v>0</v>
      </c>
      <c r="F141">
        <f t="shared" si="1"/>
        <v>0</v>
      </c>
      <c r="J141">
        <v>0</v>
      </c>
      <c r="K141">
        <v>0</v>
      </c>
      <c r="L141">
        <v>0</v>
      </c>
    </row>
    <row r="142" spans="1:12" ht="15" customHeight="1">
      <c r="A142" t="s">
        <v>256</v>
      </c>
      <c r="B142" t="s">
        <v>285</v>
      </c>
      <c r="C142">
        <v>1</v>
      </c>
      <c r="D142">
        <v>1</v>
      </c>
      <c r="E142">
        <v>1</v>
      </c>
      <c r="F142">
        <f t="shared" si="1"/>
        <v>3</v>
      </c>
      <c r="J142">
        <v>0</v>
      </c>
      <c r="K142">
        <v>1</v>
      </c>
      <c r="L142">
        <v>0</v>
      </c>
    </row>
    <row r="143" spans="1:12" ht="15" customHeight="1">
      <c r="A143" t="s">
        <v>256</v>
      </c>
      <c r="B143" t="s">
        <v>286</v>
      </c>
      <c r="C143">
        <v>0</v>
      </c>
      <c r="D143">
        <v>0</v>
      </c>
      <c r="E143">
        <v>0</v>
      </c>
      <c r="F143">
        <f t="shared" si="1"/>
        <v>0</v>
      </c>
      <c r="J143">
        <v>0</v>
      </c>
      <c r="K143">
        <v>1</v>
      </c>
      <c r="L143">
        <v>0</v>
      </c>
    </row>
    <row r="144" spans="1:12" ht="15" customHeight="1">
      <c r="A144" t="s">
        <v>256</v>
      </c>
      <c r="B144" t="s">
        <v>287</v>
      </c>
      <c r="C144">
        <v>1</v>
      </c>
      <c r="D144">
        <v>1</v>
      </c>
      <c r="E144">
        <v>0</v>
      </c>
      <c r="F144">
        <f t="shared" si="1"/>
        <v>2</v>
      </c>
      <c r="J144">
        <v>0</v>
      </c>
      <c r="K144">
        <v>1</v>
      </c>
      <c r="L144">
        <v>1</v>
      </c>
    </row>
    <row r="145" spans="1:12" ht="15" customHeight="1">
      <c r="A145" t="s">
        <v>256</v>
      </c>
      <c r="B145" t="s">
        <v>288</v>
      </c>
      <c r="C145">
        <v>1</v>
      </c>
      <c r="D145">
        <v>1</v>
      </c>
      <c r="E145">
        <v>0</v>
      </c>
      <c r="F145">
        <f t="shared" si="1"/>
        <v>2</v>
      </c>
      <c r="J145">
        <v>0</v>
      </c>
      <c r="K145">
        <v>1</v>
      </c>
      <c r="L145">
        <v>1</v>
      </c>
    </row>
    <row r="146" spans="1:12" ht="15" customHeight="1">
      <c r="A146" t="s">
        <v>256</v>
      </c>
      <c r="B146" t="s">
        <v>289</v>
      </c>
      <c r="C146">
        <v>0</v>
      </c>
      <c r="D146">
        <v>0</v>
      </c>
      <c r="E146">
        <v>0</v>
      </c>
      <c r="F146">
        <f t="shared" si="1"/>
        <v>0</v>
      </c>
      <c r="J146">
        <v>0</v>
      </c>
      <c r="K146">
        <v>1</v>
      </c>
      <c r="L146">
        <v>1</v>
      </c>
    </row>
    <row r="147" spans="1:12" ht="15" customHeight="1">
      <c r="A147" t="s">
        <v>256</v>
      </c>
      <c r="B147" t="s">
        <v>290</v>
      </c>
      <c r="C147">
        <v>1</v>
      </c>
      <c r="D147">
        <v>1</v>
      </c>
      <c r="E147">
        <v>0</v>
      </c>
      <c r="F147">
        <f t="shared" si="1"/>
        <v>2</v>
      </c>
      <c r="J147">
        <v>0</v>
      </c>
      <c r="K147">
        <v>1</v>
      </c>
      <c r="L147">
        <v>1</v>
      </c>
    </row>
    <row r="148" spans="1:12" ht="15" customHeight="1">
      <c r="A148" t="s">
        <v>256</v>
      </c>
      <c r="B148" t="s">
        <v>291</v>
      </c>
      <c r="C148">
        <v>0</v>
      </c>
      <c r="D148">
        <v>0</v>
      </c>
      <c r="E148">
        <v>0</v>
      </c>
      <c r="F148">
        <f t="shared" si="1"/>
        <v>0</v>
      </c>
      <c r="J148">
        <v>0</v>
      </c>
      <c r="K148">
        <v>1</v>
      </c>
      <c r="L148">
        <v>1</v>
      </c>
    </row>
    <row r="149" spans="1:12" ht="15" customHeight="1">
      <c r="A149" t="s">
        <v>256</v>
      </c>
      <c r="B149" t="s">
        <v>292</v>
      </c>
      <c r="C149">
        <v>1</v>
      </c>
      <c r="D149">
        <v>1</v>
      </c>
      <c r="E149">
        <v>0</v>
      </c>
      <c r="F149">
        <f t="shared" si="1"/>
        <v>2</v>
      </c>
      <c r="J149">
        <v>0</v>
      </c>
      <c r="K149">
        <v>1</v>
      </c>
      <c r="L149">
        <v>1</v>
      </c>
    </row>
    <row r="150" spans="1:12" ht="15" customHeight="1">
      <c r="A150" t="s">
        <v>256</v>
      </c>
      <c r="B150" s="8" t="s">
        <v>294</v>
      </c>
      <c r="C150">
        <v>1</v>
      </c>
      <c r="D150">
        <v>1</v>
      </c>
      <c r="E150">
        <v>1</v>
      </c>
      <c r="F150">
        <f t="shared" si="1"/>
        <v>3</v>
      </c>
      <c r="J150">
        <v>0</v>
      </c>
      <c r="K150">
        <v>1</v>
      </c>
      <c r="L150">
        <v>1</v>
      </c>
    </row>
    <row r="151" spans="1:12" ht="15" customHeight="1">
      <c r="A151" t="s">
        <v>256</v>
      </c>
      <c r="B151" t="s">
        <v>295</v>
      </c>
      <c r="C151">
        <v>1</v>
      </c>
      <c r="D151">
        <v>0</v>
      </c>
      <c r="E151">
        <v>1</v>
      </c>
      <c r="F151">
        <f t="shared" si="1"/>
        <v>2</v>
      </c>
      <c r="J151">
        <v>0</v>
      </c>
      <c r="K151">
        <v>1</v>
      </c>
      <c r="L151">
        <v>1</v>
      </c>
    </row>
    <row r="152" spans="1:12" ht="15" customHeight="1">
      <c r="A152" t="s">
        <v>256</v>
      </c>
      <c r="B152" t="s">
        <v>296</v>
      </c>
      <c r="C152">
        <v>1</v>
      </c>
      <c r="D152">
        <v>0</v>
      </c>
      <c r="E152">
        <v>1</v>
      </c>
      <c r="F152">
        <f t="shared" si="1"/>
        <v>2</v>
      </c>
      <c r="J152">
        <v>0</v>
      </c>
      <c r="K152">
        <v>1</v>
      </c>
      <c r="L152">
        <v>1</v>
      </c>
    </row>
    <row r="153" spans="1:12" ht="15" customHeight="1">
      <c r="A153" t="s">
        <v>256</v>
      </c>
      <c r="B153" t="s">
        <v>297</v>
      </c>
      <c r="C153">
        <v>1</v>
      </c>
      <c r="D153">
        <v>0</v>
      </c>
      <c r="E153">
        <v>0</v>
      </c>
      <c r="F153">
        <f t="shared" ref="F153:F216" si="2">SUM(C153:E153)</f>
        <v>1</v>
      </c>
      <c r="J153">
        <v>0</v>
      </c>
      <c r="K153">
        <v>1</v>
      </c>
      <c r="L153">
        <v>1</v>
      </c>
    </row>
    <row r="154" spans="1:12" ht="15" customHeight="1">
      <c r="A154" t="s">
        <v>256</v>
      </c>
      <c r="B154" t="s">
        <v>298</v>
      </c>
      <c r="C154">
        <v>1</v>
      </c>
      <c r="D154">
        <v>0</v>
      </c>
      <c r="E154">
        <v>0</v>
      </c>
      <c r="F154">
        <f t="shared" si="2"/>
        <v>1</v>
      </c>
      <c r="J154">
        <v>0</v>
      </c>
      <c r="K154">
        <v>1</v>
      </c>
      <c r="L154">
        <v>1</v>
      </c>
    </row>
    <row r="155" spans="1:12" ht="15" customHeight="1">
      <c r="A155" t="s">
        <v>256</v>
      </c>
      <c r="B155" t="s">
        <v>299</v>
      </c>
      <c r="C155">
        <v>1</v>
      </c>
      <c r="D155">
        <v>0</v>
      </c>
      <c r="E155">
        <v>1</v>
      </c>
      <c r="F155">
        <f t="shared" si="2"/>
        <v>2</v>
      </c>
      <c r="J155">
        <v>0</v>
      </c>
      <c r="K155">
        <v>1</v>
      </c>
      <c r="L155">
        <v>0</v>
      </c>
    </row>
    <row r="156" spans="1:12" ht="15" customHeight="1">
      <c r="A156" t="s">
        <v>256</v>
      </c>
      <c r="B156" t="s">
        <v>300</v>
      </c>
      <c r="C156">
        <v>1</v>
      </c>
      <c r="D156">
        <v>0</v>
      </c>
      <c r="E156">
        <v>0</v>
      </c>
      <c r="F156">
        <f t="shared" si="2"/>
        <v>1</v>
      </c>
      <c r="J156">
        <v>0</v>
      </c>
      <c r="K156">
        <v>0</v>
      </c>
      <c r="L156">
        <v>1</v>
      </c>
    </row>
    <row r="157" spans="1:12" ht="15" customHeight="1">
      <c r="A157" t="s">
        <v>256</v>
      </c>
      <c r="B157" t="s">
        <v>301</v>
      </c>
      <c r="C157">
        <v>1</v>
      </c>
      <c r="D157">
        <v>0</v>
      </c>
      <c r="E157">
        <v>0</v>
      </c>
      <c r="F157">
        <f t="shared" si="2"/>
        <v>1</v>
      </c>
      <c r="J157">
        <v>0</v>
      </c>
      <c r="K157">
        <v>0</v>
      </c>
      <c r="L157">
        <v>1</v>
      </c>
    </row>
    <row r="158" spans="1:12" ht="15" customHeight="1">
      <c r="A158" t="s">
        <v>256</v>
      </c>
      <c r="B158" t="s">
        <v>302</v>
      </c>
      <c r="C158">
        <v>1</v>
      </c>
      <c r="D158">
        <v>1</v>
      </c>
      <c r="E158">
        <v>1</v>
      </c>
      <c r="F158">
        <f t="shared" si="2"/>
        <v>3</v>
      </c>
      <c r="J158">
        <v>0</v>
      </c>
      <c r="K158">
        <v>1</v>
      </c>
      <c r="L158">
        <v>1</v>
      </c>
    </row>
    <row r="159" spans="1:12" ht="15" customHeight="1">
      <c r="A159" t="s">
        <v>256</v>
      </c>
      <c r="B159" t="s">
        <v>303</v>
      </c>
      <c r="C159">
        <v>0</v>
      </c>
      <c r="D159">
        <v>0</v>
      </c>
      <c r="E159">
        <v>1</v>
      </c>
      <c r="F159">
        <f t="shared" si="2"/>
        <v>1</v>
      </c>
      <c r="J159">
        <v>0</v>
      </c>
      <c r="K159">
        <v>1</v>
      </c>
      <c r="L159">
        <v>1</v>
      </c>
    </row>
    <row r="160" spans="1:12" ht="15" customHeight="1">
      <c r="A160" t="s">
        <v>256</v>
      </c>
      <c r="B160" t="s">
        <v>304</v>
      </c>
      <c r="C160">
        <v>1</v>
      </c>
      <c r="D160">
        <v>0</v>
      </c>
      <c r="E160">
        <v>1</v>
      </c>
      <c r="F160">
        <f t="shared" si="2"/>
        <v>2</v>
      </c>
      <c r="J160">
        <v>0</v>
      </c>
      <c r="K160">
        <v>1</v>
      </c>
      <c r="L160">
        <v>1</v>
      </c>
    </row>
    <row r="161" spans="1:12" ht="15" customHeight="1">
      <c r="A161" t="s">
        <v>256</v>
      </c>
      <c r="B161" t="s">
        <v>305</v>
      </c>
      <c r="C161">
        <v>1</v>
      </c>
      <c r="D161">
        <v>0</v>
      </c>
      <c r="E161">
        <v>1</v>
      </c>
      <c r="F161">
        <f t="shared" si="2"/>
        <v>2</v>
      </c>
      <c r="J161">
        <v>1</v>
      </c>
      <c r="K161">
        <v>1</v>
      </c>
      <c r="L161">
        <v>1</v>
      </c>
    </row>
    <row r="162" spans="1:12" ht="15" customHeight="1">
      <c r="A162" t="s">
        <v>256</v>
      </c>
      <c r="B162" s="8" t="s">
        <v>307</v>
      </c>
      <c r="C162">
        <v>0</v>
      </c>
      <c r="D162">
        <v>0</v>
      </c>
      <c r="E162">
        <v>1</v>
      </c>
      <c r="F162">
        <f t="shared" si="2"/>
        <v>1</v>
      </c>
      <c r="J162">
        <v>0</v>
      </c>
      <c r="K162">
        <v>1</v>
      </c>
      <c r="L162">
        <v>1</v>
      </c>
    </row>
    <row r="163" spans="1:12" ht="15" customHeight="1">
      <c r="A163" t="s">
        <v>256</v>
      </c>
      <c r="B163" t="s">
        <v>308</v>
      </c>
      <c r="C163">
        <v>1</v>
      </c>
      <c r="D163">
        <v>1</v>
      </c>
      <c r="E163">
        <v>1</v>
      </c>
      <c r="F163">
        <f t="shared" si="2"/>
        <v>3</v>
      </c>
      <c r="J163">
        <v>1</v>
      </c>
      <c r="K163">
        <v>1</v>
      </c>
      <c r="L163">
        <v>1</v>
      </c>
    </row>
    <row r="164" spans="1:12" ht="15" customHeight="1">
      <c r="A164" t="s">
        <v>256</v>
      </c>
      <c r="B164" t="s">
        <v>309</v>
      </c>
      <c r="C164">
        <v>0</v>
      </c>
      <c r="D164">
        <v>0</v>
      </c>
      <c r="E164">
        <v>1</v>
      </c>
      <c r="F164">
        <f t="shared" si="2"/>
        <v>1</v>
      </c>
      <c r="J164">
        <v>0</v>
      </c>
      <c r="K164">
        <v>1</v>
      </c>
      <c r="L164">
        <v>0</v>
      </c>
    </row>
    <row r="165" spans="1:12" ht="15" customHeight="1">
      <c r="A165" t="s">
        <v>256</v>
      </c>
      <c r="B165" t="s">
        <v>310</v>
      </c>
      <c r="C165">
        <v>0</v>
      </c>
      <c r="D165">
        <v>0</v>
      </c>
      <c r="E165">
        <v>1</v>
      </c>
      <c r="F165">
        <f t="shared" si="2"/>
        <v>1</v>
      </c>
      <c r="J165">
        <v>0</v>
      </c>
      <c r="K165">
        <v>1</v>
      </c>
      <c r="L165">
        <v>1</v>
      </c>
    </row>
    <row r="166" spans="1:12" ht="15" customHeight="1">
      <c r="A166" t="s">
        <v>256</v>
      </c>
      <c r="B166" t="s">
        <v>311</v>
      </c>
      <c r="C166">
        <v>0</v>
      </c>
      <c r="D166">
        <v>0</v>
      </c>
      <c r="E166">
        <v>1</v>
      </c>
      <c r="F166">
        <f t="shared" si="2"/>
        <v>1</v>
      </c>
      <c r="J166">
        <v>0</v>
      </c>
      <c r="K166">
        <v>1</v>
      </c>
      <c r="L166">
        <v>1</v>
      </c>
    </row>
    <row r="167" spans="1:12" ht="15" customHeight="1">
      <c r="A167" t="s">
        <v>256</v>
      </c>
      <c r="B167" t="s">
        <v>312</v>
      </c>
      <c r="C167">
        <v>1</v>
      </c>
      <c r="D167">
        <v>0</v>
      </c>
      <c r="E167">
        <v>1</v>
      </c>
      <c r="F167">
        <f t="shared" si="2"/>
        <v>2</v>
      </c>
      <c r="J167">
        <v>0</v>
      </c>
      <c r="K167">
        <v>1</v>
      </c>
      <c r="L167">
        <v>1</v>
      </c>
    </row>
    <row r="168" spans="1:12" ht="15" customHeight="1">
      <c r="A168" t="s">
        <v>256</v>
      </c>
      <c r="B168" t="s">
        <v>314</v>
      </c>
      <c r="C168">
        <v>1</v>
      </c>
      <c r="D168">
        <v>0</v>
      </c>
      <c r="E168">
        <v>1</v>
      </c>
      <c r="F168">
        <f t="shared" si="2"/>
        <v>2</v>
      </c>
      <c r="J168">
        <v>0</v>
      </c>
      <c r="K168">
        <v>0</v>
      </c>
      <c r="L168">
        <v>0</v>
      </c>
    </row>
    <row r="169" spans="1:12" ht="15" customHeight="1">
      <c r="A169" t="s">
        <v>256</v>
      </c>
      <c r="B169" t="s">
        <v>315</v>
      </c>
      <c r="C169">
        <v>1</v>
      </c>
      <c r="D169">
        <v>0</v>
      </c>
      <c r="E169">
        <v>1</v>
      </c>
      <c r="F169">
        <f t="shared" si="2"/>
        <v>2</v>
      </c>
      <c r="J169">
        <v>0</v>
      </c>
      <c r="K169">
        <v>1</v>
      </c>
      <c r="L169">
        <v>0</v>
      </c>
    </row>
    <row r="170" spans="1:12" ht="15" customHeight="1">
      <c r="A170" t="s">
        <v>256</v>
      </c>
      <c r="B170" t="s">
        <v>316</v>
      </c>
      <c r="C170">
        <v>1</v>
      </c>
      <c r="D170">
        <v>0</v>
      </c>
      <c r="E170">
        <v>1</v>
      </c>
      <c r="F170">
        <f t="shared" si="2"/>
        <v>2</v>
      </c>
      <c r="J170">
        <v>0</v>
      </c>
      <c r="K170">
        <v>1</v>
      </c>
      <c r="L170">
        <v>1</v>
      </c>
    </row>
    <row r="171" spans="1:12" ht="15" customHeight="1">
      <c r="A171" t="s">
        <v>256</v>
      </c>
      <c r="B171" t="s">
        <v>317</v>
      </c>
      <c r="C171">
        <v>1</v>
      </c>
      <c r="D171">
        <v>0</v>
      </c>
      <c r="E171">
        <v>0</v>
      </c>
      <c r="F171">
        <f t="shared" si="2"/>
        <v>1</v>
      </c>
      <c r="J171">
        <v>0</v>
      </c>
      <c r="K171">
        <v>0</v>
      </c>
      <c r="L171">
        <v>0</v>
      </c>
    </row>
    <row r="172" spans="1:12" ht="15" customHeight="1">
      <c r="A172" t="s">
        <v>256</v>
      </c>
      <c r="B172" t="s">
        <v>318</v>
      </c>
      <c r="C172">
        <v>1</v>
      </c>
      <c r="D172">
        <v>0</v>
      </c>
      <c r="E172">
        <v>1</v>
      </c>
      <c r="F172">
        <f t="shared" si="2"/>
        <v>2</v>
      </c>
      <c r="J172">
        <v>0</v>
      </c>
      <c r="K172">
        <v>1</v>
      </c>
      <c r="L172">
        <v>1</v>
      </c>
    </row>
    <row r="173" spans="1:12" ht="15" customHeight="1">
      <c r="A173" t="s">
        <v>256</v>
      </c>
      <c r="B173" t="s">
        <v>319</v>
      </c>
      <c r="C173">
        <v>1</v>
      </c>
      <c r="D173">
        <v>0</v>
      </c>
      <c r="E173">
        <v>1</v>
      </c>
      <c r="F173">
        <f t="shared" si="2"/>
        <v>2</v>
      </c>
      <c r="J173">
        <v>0</v>
      </c>
      <c r="K173">
        <v>1</v>
      </c>
      <c r="L173">
        <v>1</v>
      </c>
    </row>
    <row r="174" spans="1:12" ht="15" customHeight="1">
      <c r="A174" t="s">
        <v>256</v>
      </c>
      <c r="B174" t="s">
        <v>320</v>
      </c>
      <c r="C174">
        <v>1</v>
      </c>
      <c r="D174">
        <v>0</v>
      </c>
      <c r="E174">
        <v>1</v>
      </c>
      <c r="F174">
        <f t="shared" si="2"/>
        <v>2</v>
      </c>
      <c r="J174">
        <v>0</v>
      </c>
      <c r="K174">
        <v>1</v>
      </c>
      <c r="L174">
        <v>0</v>
      </c>
    </row>
    <row r="175" spans="1:12" ht="15" customHeight="1">
      <c r="A175" t="s">
        <v>256</v>
      </c>
      <c r="B175" t="s">
        <v>321</v>
      </c>
      <c r="C175">
        <v>1</v>
      </c>
      <c r="D175">
        <v>1</v>
      </c>
      <c r="E175">
        <v>1</v>
      </c>
      <c r="F175">
        <f t="shared" si="2"/>
        <v>3</v>
      </c>
      <c r="J175">
        <v>0</v>
      </c>
      <c r="K175">
        <v>1</v>
      </c>
      <c r="L175">
        <v>1</v>
      </c>
    </row>
    <row r="176" spans="1:12" ht="15" customHeight="1">
      <c r="A176" t="s">
        <v>256</v>
      </c>
      <c r="B176" t="s">
        <v>322</v>
      </c>
      <c r="C176">
        <v>1</v>
      </c>
      <c r="D176">
        <v>0</v>
      </c>
      <c r="E176">
        <v>1</v>
      </c>
      <c r="F176">
        <f t="shared" si="2"/>
        <v>2</v>
      </c>
      <c r="J176">
        <v>1</v>
      </c>
      <c r="K176">
        <v>1</v>
      </c>
      <c r="L176">
        <v>1</v>
      </c>
    </row>
    <row r="177" spans="1:12" ht="15" customHeight="1">
      <c r="A177" t="s">
        <v>256</v>
      </c>
      <c r="B177" t="s">
        <v>323</v>
      </c>
      <c r="C177">
        <v>1</v>
      </c>
      <c r="D177">
        <v>0</v>
      </c>
      <c r="E177">
        <v>1</v>
      </c>
      <c r="F177">
        <f t="shared" si="2"/>
        <v>2</v>
      </c>
      <c r="J177">
        <v>0</v>
      </c>
      <c r="K177">
        <v>1</v>
      </c>
      <c r="L177">
        <v>1</v>
      </c>
    </row>
    <row r="178" spans="1:12" ht="15" customHeight="1">
      <c r="A178" t="s">
        <v>256</v>
      </c>
      <c r="B178" t="s">
        <v>324</v>
      </c>
      <c r="C178">
        <v>1</v>
      </c>
      <c r="D178">
        <v>0</v>
      </c>
      <c r="E178">
        <v>1</v>
      </c>
      <c r="F178">
        <f t="shared" si="2"/>
        <v>2</v>
      </c>
      <c r="J178">
        <v>0</v>
      </c>
      <c r="K178">
        <v>1</v>
      </c>
      <c r="L178">
        <v>0</v>
      </c>
    </row>
    <row r="179" spans="1:12" ht="15" customHeight="1">
      <c r="A179" t="s">
        <v>256</v>
      </c>
      <c r="B179" t="s">
        <v>325</v>
      </c>
      <c r="C179">
        <v>1</v>
      </c>
      <c r="D179">
        <v>0</v>
      </c>
      <c r="E179">
        <v>1</v>
      </c>
      <c r="F179">
        <f t="shared" si="2"/>
        <v>2</v>
      </c>
      <c r="J179">
        <v>0</v>
      </c>
      <c r="K179">
        <v>1</v>
      </c>
      <c r="L179">
        <v>0</v>
      </c>
    </row>
    <row r="180" spans="1:12" ht="15" customHeight="1">
      <c r="A180" t="s">
        <v>326</v>
      </c>
      <c r="B180" s="2" t="s">
        <v>328</v>
      </c>
      <c r="C180">
        <v>1</v>
      </c>
      <c r="D180">
        <v>0</v>
      </c>
      <c r="E180">
        <v>1</v>
      </c>
      <c r="F180">
        <f t="shared" si="2"/>
        <v>2</v>
      </c>
      <c r="J180">
        <v>0</v>
      </c>
      <c r="K180">
        <v>1</v>
      </c>
      <c r="L180">
        <v>1</v>
      </c>
    </row>
    <row r="181" spans="1:12" ht="15" customHeight="1">
      <c r="A181" t="s">
        <v>326</v>
      </c>
      <c r="B181" t="s">
        <v>329</v>
      </c>
      <c r="C181">
        <v>1</v>
      </c>
      <c r="D181">
        <v>0</v>
      </c>
      <c r="E181">
        <v>1</v>
      </c>
      <c r="F181">
        <f t="shared" si="2"/>
        <v>2</v>
      </c>
      <c r="J181">
        <v>0</v>
      </c>
      <c r="K181">
        <v>1</v>
      </c>
      <c r="L181">
        <v>0</v>
      </c>
    </row>
    <row r="182" spans="1:12" ht="15" customHeight="1">
      <c r="A182" t="s">
        <v>326</v>
      </c>
      <c r="B182" t="s">
        <v>330</v>
      </c>
      <c r="C182">
        <v>1</v>
      </c>
      <c r="D182">
        <v>0</v>
      </c>
      <c r="E182">
        <v>1</v>
      </c>
      <c r="F182">
        <f t="shared" si="2"/>
        <v>2</v>
      </c>
      <c r="J182">
        <v>0</v>
      </c>
      <c r="K182">
        <v>1</v>
      </c>
      <c r="L182">
        <v>0</v>
      </c>
    </row>
    <row r="183" spans="1:12" ht="15" customHeight="1">
      <c r="A183" t="s">
        <v>326</v>
      </c>
      <c r="B183" t="s">
        <v>190</v>
      </c>
      <c r="C183">
        <v>1</v>
      </c>
      <c r="D183">
        <v>0</v>
      </c>
      <c r="E183">
        <v>1</v>
      </c>
      <c r="F183">
        <f t="shared" si="2"/>
        <v>2</v>
      </c>
      <c r="J183">
        <v>0</v>
      </c>
      <c r="K183">
        <v>1</v>
      </c>
      <c r="L183">
        <v>1</v>
      </c>
    </row>
    <row r="184" spans="1:12" ht="15" customHeight="1">
      <c r="A184" t="s">
        <v>326</v>
      </c>
      <c r="B184" t="s">
        <v>331</v>
      </c>
      <c r="C184">
        <v>1</v>
      </c>
      <c r="D184">
        <v>0</v>
      </c>
      <c r="E184">
        <v>1</v>
      </c>
      <c r="F184">
        <f t="shared" si="2"/>
        <v>2</v>
      </c>
      <c r="J184">
        <v>0</v>
      </c>
      <c r="K184">
        <v>1</v>
      </c>
      <c r="L184">
        <v>1</v>
      </c>
    </row>
    <row r="185" spans="1:12" ht="15" customHeight="1">
      <c r="A185" t="s">
        <v>326</v>
      </c>
      <c r="B185" t="s">
        <v>332</v>
      </c>
      <c r="C185">
        <v>1</v>
      </c>
      <c r="D185">
        <v>0</v>
      </c>
      <c r="E185">
        <v>1</v>
      </c>
      <c r="F185">
        <f t="shared" si="2"/>
        <v>2</v>
      </c>
      <c r="J185">
        <v>0</v>
      </c>
      <c r="K185">
        <v>1</v>
      </c>
      <c r="L185">
        <v>1</v>
      </c>
    </row>
    <row r="186" spans="1:12" ht="15" customHeight="1">
      <c r="A186" t="s">
        <v>326</v>
      </c>
      <c r="B186" t="s">
        <v>333</v>
      </c>
      <c r="C186">
        <v>1</v>
      </c>
      <c r="D186">
        <v>0</v>
      </c>
      <c r="E186">
        <v>1</v>
      </c>
      <c r="F186">
        <f t="shared" si="2"/>
        <v>2</v>
      </c>
      <c r="J186">
        <v>0</v>
      </c>
      <c r="K186">
        <v>1</v>
      </c>
      <c r="L186">
        <v>1</v>
      </c>
    </row>
    <row r="187" spans="1:12" ht="15" customHeight="1">
      <c r="A187" t="s">
        <v>326</v>
      </c>
      <c r="B187" t="s">
        <v>334</v>
      </c>
      <c r="C187">
        <v>1</v>
      </c>
      <c r="D187">
        <v>0</v>
      </c>
      <c r="E187">
        <v>1</v>
      </c>
      <c r="F187">
        <f t="shared" si="2"/>
        <v>2</v>
      </c>
      <c r="J187">
        <v>0</v>
      </c>
      <c r="K187">
        <v>1</v>
      </c>
      <c r="L187">
        <v>0</v>
      </c>
    </row>
    <row r="188" spans="1:12" ht="15" customHeight="1">
      <c r="A188" t="s">
        <v>326</v>
      </c>
      <c r="B188" t="s">
        <v>335</v>
      </c>
      <c r="C188">
        <v>1</v>
      </c>
      <c r="D188">
        <v>0</v>
      </c>
      <c r="E188">
        <v>1</v>
      </c>
      <c r="F188">
        <f t="shared" si="2"/>
        <v>2</v>
      </c>
      <c r="J188">
        <v>0</v>
      </c>
      <c r="K188">
        <v>1</v>
      </c>
      <c r="L188">
        <v>1</v>
      </c>
    </row>
    <row r="189" spans="1:12" ht="15" customHeight="1">
      <c r="A189" t="s">
        <v>326</v>
      </c>
      <c r="B189" t="s">
        <v>336</v>
      </c>
      <c r="C189">
        <v>1</v>
      </c>
      <c r="D189">
        <v>0</v>
      </c>
      <c r="E189">
        <v>1</v>
      </c>
      <c r="F189">
        <f t="shared" si="2"/>
        <v>2</v>
      </c>
      <c r="J189">
        <v>0</v>
      </c>
      <c r="K189">
        <v>1</v>
      </c>
      <c r="L189">
        <v>1</v>
      </c>
    </row>
    <row r="190" spans="1:12" ht="15" customHeight="1">
      <c r="A190" t="s">
        <v>326</v>
      </c>
      <c r="B190" t="s">
        <v>337</v>
      </c>
      <c r="C190">
        <v>1</v>
      </c>
      <c r="D190">
        <v>0</v>
      </c>
      <c r="E190">
        <v>1</v>
      </c>
      <c r="F190">
        <f t="shared" si="2"/>
        <v>2</v>
      </c>
      <c r="J190">
        <v>0</v>
      </c>
      <c r="K190">
        <v>1</v>
      </c>
      <c r="L190">
        <v>1</v>
      </c>
    </row>
    <row r="191" spans="1:12" ht="15" customHeight="1">
      <c r="A191" t="s">
        <v>326</v>
      </c>
      <c r="B191" t="s">
        <v>338</v>
      </c>
      <c r="C191">
        <v>1</v>
      </c>
      <c r="D191">
        <v>0</v>
      </c>
      <c r="E191">
        <v>1</v>
      </c>
      <c r="F191">
        <f t="shared" si="2"/>
        <v>2</v>
      </c>
      <c r="J191">
        <v>0</v>
      </c>
      <c r="K191">
        <v>1</v>
      </c>
      <c r="L191">
        <v>1</v>
      </c>
    </row>
    <row r="192" spans="1:12" ht="15" customHeight="1">
      <c r="A192" t="s">
        <v>326</v>
      </c>
      <c r="B192" t="s">
        <v>339</v>
      </c>
      <c r="C192">
        <v>1</v>
      </c>
      <c r="D192">
        <v>0</v>
      </c>
      <c r="E192">
        <v>1</v>
      </c>
      <c r="F192">
        <f t="shared" si="2"/>
        <v>2</v>
      </c>
      <c r="J192">
        <v>0</v>
      </c>
      <c r="K192">
        <v>1</v>
      </c>
      <c r="L192">
        <v>1</v>
      </c>
    </row>
    <row r="193" spans="1:12" ht="15" customHeight="1">
      <c r="A193" t="s">
        <v>326</v>
      </c>
      <c r="B193" t="s">
        <v>340</v>
      </c>
      <c r="C193">
        <v>1</v>
      </c>
      <c r="D193">
        <v>0</v>
      </c>
      <c r="E193">
        <v>1</v>
      </c>
      <c r="F193">
        <f t="shared" si="2"/>
        <v>2</v>
      </c>
      <c r="J193">
        <v>0</v>
      </c>
      <c r="K193">
        <v>1</v>
      </c>
      <c r="L193">
        <v>1</v>
      </c>
    </row>
    <row r="194" spans="1:12" ht="15" customHeight="1">
      <c r="A194" t="s">
        <v>326</v>
      </c>
      <c r="B194" t="s">
        <v>341</v>
      </c>
      <c r="C194">
        <v>1</v>
      </c>
      <c r="D194">
        <v>0</v>
      </c>
      <c r="E194">
        <v>1</v>
      </c>
      <c r="F194">
        <f t="shared" si="2"/>
        <v>2</v>
      </c>
      <c r="J194">
        <v>0</v>
      </c>
      <c r="K194">
        <v>1</v>
      </c>
      <c r="L194">
        <v>1</v>
      </c>
    </row>
    <row r="195" spans="1:12" ht="15" customHeight="1">
      <c r="A195" t="s">
        <v>326</v>
      </c>
      <c r="B195" t="s">
        <v>342</v>
      </c>
      <c r="C195">
        <v>1</v>
      </c>
      <c r="D195">
        <v>0</v>
      </c>
      <c r="E195">
        <v>1</v>
      </c>
      <c r="F195">
        <f t="shared" si="2"/>
        <v>2</v>
      </c>
      <c r="J195">
        <v>0</v>
      </c>
      <c r="K195">
        <v>1</v>
      </c>
      <c r="L195">
        <v>1</v>
      </c>
    </row>
    <row r="196" spans="1:12" ht="15" customHeight="1">
      <c r="A196" t="s">
        <v>326</v>
      </c>
      <c r="B196" t="s">
        <v>343</v>
      </c>
      <c r="C196">
        <v>0</v>
      </c>
      <c r="D196">
        <v>1</v>
      </c>
      <c r="E196">
        <v>1</v>
      </c>
      <c r="F196">
        <f t="shared" si="2"/>
        <v>2</v>
      </c>
      <c r="J196">
        <v>0</v>
      </c>
      <c r="K196">
        <v>1</v>
      </c>
      <c r="L196">
        <v>0</v>
      </c>
    </row>
    <row r="197" spans="1:12" ht="15" customHeight="1">
      <c r="A197" t="s">
        <v>326</v>
      </c>
      <c r="B197" t="s">
        <v>344</v>
      </c>
      <c r="C197">
        <v>1</v>
      </c>
      <c r="D197">
        <v>1</v>
      </c>
      <c r="E197">
        <v>1</v>
      </c>
      <c r="F197">
        <f t="shared" si="2"/>
        <v>3</v>
      </c>
      <c r="J197">
        <v>0</v>
      </c>
      <c r="K197">
        <v>1</v>
      </c>
      <c r="L197">
        <v>1</v>
      </c>
    </row>
    <row r="198" spans="1:12" ht="15" customHeight="1">
      <c r="A198" t="s">
        <v>326</v>
      </c>
      <c r="B198" s="8" t="s">
        <v>346</v>
      </c>
      <c r="C198">
        <v>1</v>
      </c>
      <c r="D198">
        <v>0</v>
      </c>
      <c r="E198">
        <v>1</v>
      </c>
      <c r="F198">
        <f t="shared" si="2"/>
        <v>2</v>
      </c>
      <c r="J198">
        <v>0</v>
      </c>
      <c r="K198">
        <v>1</v>
      </c>
      <c r="L198">
        <v>1</v>
      </c>
    </row>
    <row r="199" spans="1:12" ht="15" customHeight="1">
      <c r="A199" t="s">
        <v>326</v>
      </c>
      <c r="B199" t="s">
        <v>347</v>
      </c>
      <c r="C199">
        <v>0</v>
      </c>
      <c r="D199">
        <v>0</v>
      </c>
      <c r="E199">
        <v>1</v>
      </c>
      <c r="F199">
        <f t="shared" si="2"/>
        <v>1</v>
      </c>
      <c r="J199">
        <v>0</v>
      </c>
      <c r="K199">
        <v>1</v>
      </c>
      <c r="L199">
        <v>1</v>
      </c>
    </row>
    <row r="200" spans="1:12" ht="15" customHeight="1">
      <c r="A200" t="s">
        <v>326</v>
      </c>
      <c r="B200" t="s">
        <v>348</v>
      </c>
      <c r="C200">
        <v>0</v>
      </c>
      <c r="D200">
        <v>0</v>
      </c>
      <c r="E200">
        <v>1</v>
      </c>
      <c r="F200">
        <f t="shared" si="2"/>
        <v>1</v>
      </c>
      <c r="J200">
        <v>0</v>
      </c>
      <c r="K200">
        <v>1</v>
      </c>
      <c r="L200">
        <v>1</v>
      </c>
    </row>
    <row r="201" spans="1:12" ht="15" customHeight="1">
      <c r="A201" t="s">
        <v>326</v>
      </c>
      <c r="B201" t="s">
        <v>349</v>
      </c>
      <c r="C201">
        <v>0</v>
      </c>
      <c r="D201">
        <v>0</v>
      </c>
      <c r="E201">
        <v>0</v>
      </c>
      <c r="F201">
        <f t="shared" si="2"/>
        <v>0</v>
      </c>
      <c r="J201">
        <v>0</v>
      </c>
      <c r="K201">
        <v>1</v>
      </c>
      <c r="L201">
        <v>1</v>
      </c>
    </row>
    <row r="202" spans="1:12" ht="15" customHeight="1">
      <c r="A202" t="s">
        <v>326</v>
      </c>
      <c r="B202" t="s">
        <v>350</v>
      </c>
      <c r="C202">
        <v>0</v>
      </c>
      <c r="D202">
        <v>0</v>
      </c>
      <c r="E202">
        <v>0</v>
      </c>
      <c r="F202">
        <f t="shared" si="2"/>
        <v>0</v>
      </c>
      <c r="J202">
        <v>0</v>
      </c>
      <c r="K202">
        <v>0</v>
      </c>
      <c r="L202">
        <v>0</v>
      </c>
    </row>
    <row r="203" spans="1:12" ht="15" customHeight="1">
      <c r="A203" t="s">
        <v>326</v>
      </c>
      <c r="B203" t="s">
        <v>351</v>
      </c>
      <c r="C203">
        <v>1</v>
      </c>
      <c r="D203">
        <v>1</v>
      </c>
      <c r="E203">
        <v>0</v>
      </c>
      <c r="F203">
        <f t="shared" si="2"/>
        <v>2</v>
      </c>
      <c r="J203">
        <v>0</v>
      </c>
      <c r="K203">
        <v>1</v>
      </c>
      <c r="L203">
        <v>0</v>
      </c>
    </row>
    <row r="204" spans="1:12" ht="15" customHeight="1">
      <c r="A204" t="s">
        <v>326</v>
      </c>
      <c r="B204" t="s">
        <v>352</v>
      </c>
      <c r="C204">
        <v>0</v>
      </c>
      <c r="D204">
        <v>0</v>
      </c>
      <c r="E204">
        <v>0</v>
      </c>
      <c r="F204">
        <f t="shared" si="2"/>
        <v>0</v>
      </c>
      <c r="J204">
        <v>0</v>
      </c>
      <c r="K204">
        <v>1</v>
      </c>
      <c r="L204">
        <v>0</v>
      </c>
    </row>
    <row r="205" spans="1:12" ht="15" customHeight="1">
      <c r="A205" t="s">
        <v>326</v>
      </c>
      <c r="B205" t="s">
        <v>353</v>
      </c>
      <c r="C205">
        <v>1</v>
      </c>
      <c r="D205">
        <v>0</v>
      </c>
      <c r="E205">
        <v>1</v>
      </c>
      <c r="F205">
        <f t="shared" si="2"/>
        <v>2</v>
      </c>
      <c r="J205">
        <v>0</v>
      </c>
      <c r="K205">
        <v>1</v>
      </c>
      <c r="L205">
        <v>1</v>
      </c>
    </row>
    <row r="206" spans="1:12" ht="15" customHeight="1">
      <c r="A206" t="s">
        <v>168</v>
      </c>
      <c r="B206" t="s">
        <v>374</v>
      </c>
      <c r="C206">
        <v>1</v>
      </c>
      <c r="D206">
        <v>0</v>
      </c>
      <c r="E206" s="12">
        <v>1</v>
      </c>
      <c r="F206">
        <f t="shared" si="2"/>
        <v>2</v>
      </c>
      <c r="J206">
        <v>0</v>
      </c>
      <c r="K206" s="12">
        <v>1</v>
      </c>
      <c r="L206" s="12">
        <v>0</v>
      </c>
    </row>
    <row r="207" spans="1:12" ht="15" customHeight="1">
      <c r="A207" t="s">
        <v>168</v>
      </c>
      <c r="B207" t="s">
        <v>375</v>
      </c>
      <c r="C207">
        <v>1</v>
      </c>
      <c r="D207">
        <v>0</v>
      </c>
      <c r="E207" s="12">
        <v>1</v>
      </c>
      <c r="F207">
        <f t="shared" si="2"/>
        <v>2</v>
      </c>
      <c r="J207">
        <v>0</v>
      </c>
      <c r="K207" s="12">
        <v>0</v>
      </c>
      <c r="L207" s="12">
        <v>1</v>
      </c>
    </row>
    <row r="208" spans="1:12" ht="15" customHeight="1">
      <c r="A208" t="s">
        <v>168</v>
      </c>
      <c r="B208" t="s">
        <v>376</v>
      </c>
      <c r="C208">
        <v>1</v>
      </c>
      <c r="D208">
        <v>0</v>
      </c>
      <c r="E208" s="12">
        <v>1</v>
      </c>
      <c r="F208">
        <f t="shared" si="2"/>
        <v>2</v>
      </c>
      <c r="J208">
        <v>0</v>
      </c>
      <c r="K208" s="12">
        <v>0</v>
      </c>
      <c r="L208" s="12">
        <v>1</v>
      </c>
    </row>
    <row r="209" spans="1:12" ht="15" customHeight="1">
      <c r="A209" t="s">
        <v>168</v>
      </c>
      <c r="B209" t="s">
        <v>377</v>
      </c>
      <c r="C209">
        <v>1</v>
      </c>
      <c r="D209">
        <v>0</v>
      </c>
      <c r="E209" s="12">
        <v>1</v>
      </c>
      <c r="F209">
        <f t="shared" si="2"/>
        <v>2</v>
      </c>
      <c r="J209">
        <v>0</v>
      </c>
      <c r="K209" s="12">
        <v>0</v>
      </c>
      <c r="L209" s="12">
        <v>1</v>
      </c>
    </row>
    <row r="210" spans="1:12" ht="15" customHeight="1">
      <c r="A210" t="s">
        <v>168</v>
      </c>
      <c r="B210" t="s">
        <v>378</v>
      </c>
      <c r="C210">
        <v>1</v>
      </c>
      <c r="D210">
        <v>1</v>
      </c>
      <c r="E210" s="12">
        <v>1</v>
      </c>
      <c r="F210">
        <f t="shared" si="2"/>
        <v>3</v>
      </c>
      <c r="J210">
        <v>0</v>
      </c>
      <c r="K210" s="12">
        <v>0</v>
      </c>
      <c r="L210" s="12">
        <v>1</v>
      </c>
    </row>
    <row r="211" spans="1:12" ht="15" customHeight="1">
      <c r="A211" t="s">
        <v>168</v>
      </c>
      <c r="B211" t="s">
        <v>379</v>
      </c>
      <c r="C211">
        <v>1</v>
      </c>
      <c r="D211">
        <v>0</v>
      </c>
      <c r="E211" s="12">
        <v>1</v>
      </c>
      <c r="F211">
        <f t="shared" si="2"/>
        <v>2</v>
      </c>
      <c r="J211">
        <v>0</v>
      </c>
      <c r="K211" s="12">
        <v>1</v>
      </c>
      <c r="L211" s="12">
        <v>1</v>
      </c>
    </row>
    <row r="212" spans="1:12" ht="15" customHeight="1">
      <c r="A212" t="s">
        <v>168</v>
      </c>
      <c r="B212" t="s">
        <v>380</v>
      </c>
      <c r="C212">
        <v>1</v>
      </c>
      <c r="D212">
        <v>0</v>
      </c>
      <c r="E212" s="12">
        <v>0</v>
      </c>
      <c r="F212">
        <f t="shared" si="2"/>
        <v>1</v>
      </c>
      <c r="J212">
        <v>0</v>
      </c>
      <c r="K212" s="12">
        <v>0</v>
      </c>
      <c r="L212" s="12">
        <v>0</v>
      </c>
    </row>
    <row r="213" spans="1:12" ht="15" customHeight="1">
      <c r="A213" t="s">
        <v>168</v>
      </c>
      <c r="B213" t="s">
        <v>381</v>
      </c>
      <c r="C213">
        <v>1</v>
      </c>
      <c r="D213">
        <v>0</v>
      </c>
      <c r="E213" s="12">
        <v>1</v>
      </c>
      <c r="F213">
        <f t="shared" si="2"/>
        <v>2</v>
      </c>
      <c r="J213">
        <v>0</v>
      </c>
      <c r="K213" s="12">
        <v>0</v>
      </c>
      <c r="L213" s="12">
        <v>1</v>
      </c>
    </row>
    <row r="214" spans="1:12" ht="15" customHeight="1">
      <c r="A214" t="s">
        <v>168</v>
      </c>
      <c r="B214" t="s">
        <v>382</v>
      </c>
      <c r="C214">
        <v>1</v>
      </c>
      <c r="D214">
        <v>1</v>
      </c>
      <c r="E214" s="12">
        <v>1</v>
      </c>
      <c r="F214">
        <f t="shared" si="2"/>
        <v>3</v>
      </c>
      <c r="J214">
        <v>0</v>
      </c>
      <c r="K214" s="12">
        <v>1</v>
      </c>
      <c r="L214" s="12">
        <v>1</v>
      </c>
    </row>
    <row r="215" spans="1:12" ht="15" customHeight="1">
      <c r="A215" t="s">
        <v>168</v>
      </c>
      <c r="B215" t="s">
        <v>383</v>
      </c>
      <c r="C215">
        <v>1</v>
      </c>
      <c r="D215">
        <v>0</v>
      </c>
      <c r="E215" s="12">
        <v>1</v>
      </c>
      <c r="F215">
        <f t="shared" si="2"/>
        <v>2</v>
      </c>
      <c r="J215">
        <v>0</v>
      </c>
      <c r="K215" s="12">
        <v>1</v>
      </c>
      <c r="L215" s="12">
        <v>0</v>
      </c>
    </row>
    <row r="216" spans="1:12" ht="15" customHeight="1">
      <c r="A216" t="s">
        <v>168</v>
      </c>
      <c r="B216" t="s">
        <v>384</v>
      </c>
      <c r="C216">
        <v>1</v>
      </c>
      <c r="D216">
        <v>0</v>
      </c>
      <c r="E216" s="12">
        <v>1</v>
      </c>
      <c r="F216">
        <f t="shared" si="2"/>
        <v>2</v>
      </c>
      <c r="J216">
        <v>0</v>
      </c>
      <c r="K216" s="12">
        <v>1</v>
      </c>
      <c r="L216" s="12">
        <v>1</v>
      </c>
    </row>
    <row r="217" spans="1:12" ht="15" customHeight="1">
      <c r="A217" t="s">
        <v>168</v>
      </c>
      <c r="B217" t="s">
        <v>385</v>
      </c>
      <c r="C217">
        <v>1</v>
      </c>
      <c r="D217">
        <v>1</v>
      </c>
      <c r="E217" s="12">
        <v>0</v>
      </c>
      <c r="F217">
        <f t="shared" ref="F217:F280" si="3">SUM(C217:E217)</f>
        <v>2</v>
      </c>
      <c r="J217">
        <v>0</v>
      </c>
      <c r="K217" s="12">
        <v>1</v>
      </c>
      <c r="L217" s="12">
        <v>0</v>
      </c>
    </row>
    <row r="218" spans="1:12" ht="15" customHeight="1">
      <c r="A218" t="s">
        <v>168</v>
      </c>
      <c r="B218" t="s">
        <v>386</v>
      </c>
      <c r="C218">
        <v>1</v>
      </c>
      <c r="D218">
        <v>0</v>
      </c>
      <c r="E218" s="12">
        <v>1</v>
      </c>
      <c r="F218">
        <f t="shared" si="3"/>
        <v>2</v>
      </c>
      <c r="J218">
        <v>0</v>
      </c>
      <c r="K218" s="12">
        <v>1</v>
      </c>
      <c r="L218" s="12">
        <v>0</v>
      </c>
    </row>
    <row r="219" spans="1:12" ht="15" customHeight="1">
      <c r="A219" t="s">
        <v>168</v>
      </c>
      <c r="B219" t="s">
        <v>387</v>
      </c>
      <c r="C219">
        <v>1</v>
      </c>
      <c r="D219">
        <v>0</v>
      </c>
      <c r="E219" s="12">
        <v>1</v>
      </c>
      <c r="F219">
        <f t="shared" si="3"/>
        <v>2</v>
      </c>
      <c r="J219">
        <v>0</v>
      </c>
      <c r="K219" s="12">
        <v>1</v>
      </c>
      <c r="L219" s="12">
        <v>0</v>
      </c>
    </row>
    <row r="220" spans="1:12" ht="15" customHeight="1">
      <c r="A220" t="s">
        <v>168</v>
      </c>
      <c r="B220" t="s">
        <v>388</v>
      </c>
      <c r="C220">
        <v>0</v>
      </c>
      <c r="D220">
        <v>0</v>
      </c>
      <c r="E220" s="12">
        <v>1</v>
      </c>
      <c r="F220">
        <f t="shared" si="3"/>
        <v>1</v>
      </c>
      <c r="J220">
        <v>0</v>
      </c>
      <c r="K220" s="12">
        <v>0</v>
      </c>
      <c r="L220" s="12">
        <v>1</v>
      </c>
    </row>
    <row r="221" spans="1:12" ht="15" customHeight="1">
      <c r="A221" t="s">
        <v>168</v>
      </c>
      <c r="B221" t="s">
        <v>389</v>
      </c>
      <c r="C221">
        <v>1</v>
      </c>
      <c r="D221">
        <v>1</v>
      </c>
      <c r="E221" s="12">
        <v>1</v>
      </c>
      <c r="F221">
        <f t="shared" si="3"/>
        <v>3</v>
      </c>
      <c r="J221">
        <v>0</v>
      </c>
      <c r="K221" s="12">
        <v>0</v>
      </c>
      <c r="L221" s="12">
        <v>1</v>
      </c>
    </row>
    <row r="222" spans="1:12" ht="15" customHeight="1">
      <c r="A222" t="s">
        <v>168</v>
      </c>
      <c r="B222" t="s">
        <v>390</v>
      </c>
      <c r="C222">
        <v>0</v>
      </c>
      <c r="D222">
        <v>0</v>
      </c>
      <c r="E222" s="12">
        <v>1</v>
      </c>
      <c r="F222">
        <f t="shared" si="3"/>
        <v>1</v>
      </c>
      <c r="J222">
        <v>0</v>
      </c>
      <c r="K222" s="12">
        <v>1</v>
      </c>
      <c r="L222" s="12">
        <v>0</v>
      </c>
    </row>
    <row r="223" spans="1:12" ht="15" customHeight="1">
      <c r="A223" t="s">
        <v>168</v>
      </c>
      <c r="B223" t="s">
        <v>391</v>
      </c>
      <c r="C223">
        <v>1</v>
      </c>
      <c r="D223">
        <v>0</v>
      </c>
      <c r="E223" s="12">
        <v>1</v>
      </c>
      <c r="F223">
        <f t="shared" si="3"/>
        <v>2</v>
      </c>
      <c r="J223">
        <v>0</v>
      </c>
      <c r="K223" s="12">
        <v>1</v>
      </c>
      <c r="L223" s="12">
        <v>1</v>
      </c>
    </row>
    <row r="224" spans="1:12" ht="15" customHeight="1">
      <c r="A224" t="s">
        <v>168</v>
      </c>
      <c r="B224" t="s">
        <v>392</v>
      </c>
      <c r="C224">
        <v>1</v>
      </c>
      <c r="D224">
        <v>1</v>
      </c>
      <c r="E224" s="12">
        <v>1</v>
      </c>
      <c r="F224">
        <f t="shared" si="3"/>
        <v>3</v>
      </c>
      <c r="J224">
        <v>0</v>
      </c>
      <c r="K224" s="12">
        <v>0</v>
      </c>
      <c r="L224" s="12">
        <v>0</v>
      </c>
    </row>
    <row r="225" spans="1:12" ht="15" customHeight="1">
      <c r="A225" t="s">
        <v>168</v>
      </c>
      <c r="B225" t="s">
        <v>393</v>
      </c>
      <c r="C225">
        <v>1</v>
      </c>
      <c r="D225">
        <v>1</v>
      </c>
      <c r="E225" s="12">
        <v>1</v>
      </c>
      <c r="F225">
        <f t="shared" si="3"/>
        <v>3</v>
      </c>
      <c r="J225">
        <v>1</v>
      </c>
      <c r="K225" s="12">
        <v>0</v>
      </c>
      <c r="L225" s="12">
        <v>0</v>
      </c>
    </row>
    <row r="226" spans="1:12" ht="15" customHeight="1">
      <c r="A226" t="s">
        <v>168</v>
      </c>
      <c r="B226" t="s">
        <v>394</v>
      </c>
      <c r="C226">
        <v>1</v>
      </c>
      <c r="D226">
        <v>1</v>
      </c>
      <c r="E226" s="12">
        <v>1</v>
      </c>
      <c r="F226">
        <f t="shared" si="3"/>
        <v>3</v>
      </c>
      <c r="J226">
        <v>0</v>
      </c>
      <c r="K226" s="12">
        <v>0</v>
      </c>
      <c r="L226" s="12">
        <v>0</v>
      </c>
    </row>
    <row r="227" spans="1:12" ht="15" customHeight="1">
      <c r="A227" t="s">
        <v>256</v>
      </c>
      <c r="B227" t="s">
        <v>395</v>
      </c>
      <c r="C227">
        <v>1</v>
      </c>
      <c r="D227">
        <v>1</v>
      </c>
      <c r="E227" s="12">
        <v>1</v>
      </c>
      <c r="F227">
        <f t="shared" si="3"/>
        <v>3</v>
      </c>
      <c r="J227">
        <v>0</v>
      </c>
      <c r="K227" s="12">
        <v>1</v>
      </c>
      <c r="L227" s="12">
        <v>1</v>
      </c>
    </row>
    <row r="228" spans="1:12" ht="15" customHeight="1">
      <c r="A228" t="s">
        <v>256</v>
      </c>
      <c r="B228" t="s">
        <v>396</v>
      </c>
      <c r="C228">
        <v>1</v>
      </c>
      <c r="D228">
        <v>1</v>
      </c>
      <c r="E228" s="12">
        <v>1</v>
      </c>
      <c r="F228">
        <f t="shared" si="3"/>
        <v>3</v>
      </c>
      <c r="J228">
        <v>0</v>
      </c>
      <c r="K228" s="12">
        <v>1</v>
      </c>
      <c r="L228" s="12">
        <v>1</v>
      </c>
    </row>
    <row r="229" spans="1:12" ht="15" customHeight="1">
      <c r="A229" t="s">
        <v>256</v>
      </c>
      <c r="B229" t="s">
        <v>397</v>
      </c>
      <c r="C229">
        <v>1</v>
      </c>
      <c r="D229">
        <v>1</v>
      </c>
      <c r="E229" s="12">
        <v>1</v>
      </c>
      <c r="F229">
        <f t="shared" si="3"/>
        <v>3</v>
      </c>
      <c r="J229">
        <v>0</v>
      </c>
      <c r="K229" s="12">
        <v>1</v>
      </c>
      <c r="L229" s="12">
        <v>1</v>
      </c>
    </row>
    <row r="230" spans="1:12" ht="15" customHeight="1">
      <c r="A230" t="s">
        <v>256</v>
      </c>
      <c r="B230" t="s">
        <v>398</v>
      </c>
      <c r="C230">
        <v>0</v>
      </c>
      <c r="D230">
        <v>0</v>
      </c>
      <c r="E230" s="12">
        <v>1</v>
      </c>
      <c r="F230">
        <f t="shared" si="3"/>
        <v>1</v>
      </c>
      <c r="J230">
        <v>0</v>
      </c>
      <c r="K230" s="12">
        <v>0</v>
      </c>
      <c r="L230" s="12">
        <v>0</v>
      </c>
    </row>
    <row r="231" spans="1:12" ht="15" customHeight="1">
      <c r="A231" t="s">
        <v>256</v>
      </c>
      <c r="B231" t="s">
        <v>399</v>
      </c>
      <c r="C231">
        <v>0</v>
      </c>
      <c r="D231">
        <v>0</v>
      </c>
      <c r="E231" s="12">
        <v>1</v>
      </c>
      <c r="F231">
        <f t="shared" si="3"/>
        <v>1</v>
      </c>
      <c r="J231">
        <v>0</v>
      </c>
      <c r="K231" s="12">
        <v>1</v>
      </c>
      <c r="L231" s="12">
        <v>0</v>
      </c>
    </row>
    <row r="232" spans="1:12" ht="15" customHeight="1">
      <c r="A232" t="s">
        <v>256</v>
      </c>
      <c r="B232" t="s">
        <v>400</v>
      </c>
      <c r="C232">
        <v>0</v>
      </c>
      <c r="D232">
        <v>0</v>
      </c>
      <c r="E232" s="12">
        <v>1</v>
      </c>
      <c r="F232">
        <f t="shared" si="3"/>
        <v>1</v>
      </c>
      <c r="J232">
        <v>0</v>
      </c>
      <c r="K232" s="12">
        <v>1</v>
      </c>
      <c r="L232" s="12">
        <v>1</v>
      </c>
    </row>
    <row r="233" spans="1:12" ht="15" customHeight="1">
      <c r="A233" t="s">
        <v>256</v>
      </c>
      <c r="B233" t="s">
        <v>401</v>
      </c>
      <c r="C233">
        <v>1</v>
      </c>
      <c r="D233">
        <v>1</v>
      </c>
      <c r="E233" s="12">
        <v>1</v>
      </c>
      <c r="F233">
        <f t="shared" si="3"/>
        <v>3</v>
      </c>
      <c r="J233">
        <v>0</v>
      </c>
      <c r="K233" s="12">
        <v>1</v>
      </c>
      <c r="L233" s="12">
        <v>0</v>
      </c>
    </row>
    <row r="234" spans="1:12" ht="15" customHeight="1">
      <c r="A234" t="s">
        <v>256</v>
      </c>
      <c r="B234" t="s">
        <v>402</v>
      </c>
      <c r="C234">
        <v>1</v>
      </c>
      <c r="D234">
        <v>1</v>
      </c>
      <c r="E234" s="12">
        <v>1</v>
      </c>
      <c r="F234">
        <f t="shared" si="3"/>
        <v>3</v>
      </c>
      <c r="J234">
        <v>0</v>
      </c>
      <c r="K234" s="12">
        <v>0</v>
      </c>
      <c r="L234" s="12">
        <v>1</v>
      </c>
    </row>
    <row r="235" spans="1:12" ht="15" customHeight="1">
      <c r="A235" t="s">
        <v>256</v>
      </c>
      <c r="B235" t="s">
        <v>403</v>
      </c>
      <c r="C235">
        <v>0</v>
      </c>
      <c r="D235">
        <v>0</v>
      </c>
      <c r="E235" s="12">
        <v>1</v>
      </c>
      <c r="F235">
        <f t="shared" si="3"/>
        <v>1</v>
      </c>
      <c r="J235">
        <v>0</v>
      </c>
      <c r="K235" s="12">
        <v>0</v>
      </c>
      <c r="L235" s="12">
        <v>1</v>
      </c>
    </row>
    <row r="236" spans="1:12" ht="15" customHeight="1">
      <c r="A236" t="s">
        <v>256</v>
      </c>
      <c r="B236" t="s">
        <v>404</v>
      </c>
      <c r="C236">
        <v>1</v>
      </c>
      <c r="D236">
        <v>0</v>
      </c>
      <c r="E236" s="12">
        <v>1</v>
      </c>
      <c r="F236">
        <f t="shared" si="3"/>
        <v>2</v>
      </c>
      <c r="J236">
        <v>0</v>
      </c>
      <c r="K236" s="12">
        <v>0</v>
      </c>
      <c r="L236" s="12">
        <v>1</v>
      </c>
    </row>
    <row r="237" spans="1:12" ht="15" customHeight="1">
      <c r="A237" t="s">
        <v>256</v>
      </c>
      <c r="B237" t="s">
        <v>405</v>
      </c>
      <c r="C237">
        <v>1</v>
      </c>
      <c r="D237">
        <v>1</v>
      </c>
      <c r="E237" s="12">
        <v>1</v>
      </c>
      <c r="F237">
        <f t="shared" si="3"/>
        <v>3</v>
      </c>
      <c r="J237">
        <v>0</v>
      </c>
      <c r="K237" s="12">
        <v>1</v>
      </c>
      <c r="L237" s="12">
        <v>1</v>
      </c>
    </row>
    <row r="238" spans="1:12" ht="15" customHeight="1">
      <c r="A238" t="s">
        <v>256</v>
      </c>
      <c r="B238" t="s">
        <v>406</v>
      </c>
      <c r="C238">
        <v>1</v>
      </c>
      <c r="D238">
        <v>0</v>
      </c>
      <c r="E238" s="12">
        <v>1</v>
      </c>
      <c r="F238">
        <f t="shared" si="3"/>
        <v>2</v>
      </c>
      <c r="J238">
        <v>0</v>
      </c>
      <c r="K238" s="12">
        <v>1</v>
      </c>
      <c r="L238" s="12">
        <v>1</v>
      </c>
    </row>
    <row r="239" spans="1:12" ht="15" customHeight="1">
      <c r="A239" t="s">
        <v>256</v>
      </c>
      <c r="B239" t="s">
        <v>407</v>
      </c>
      <c r="C239">
        <v>1</v>
      </c>
      <c r="D239">
        <v>1</v>
      </c>
      <c r="E239" s="12">
        <v>1</v>
      </c>
      <c r="F239">
        <f t="shared" si="3"/>
        <v>3</v>
      </c>
      <c r="J239">
        <v>0</v>
      </c>
      <c r="K239" s="12">
        <v>1</v>
      </c>
      <c r="L239" s="12">
        <v>1</v>
      </c>
    </row>
    <row r="240" spans="1:12" ht="15" customHeight="1">
      <c r="A240" t="s">
        <v>256</v>
      </c>
      <c r="B240" t="s">
        <v>408</v>
      </c>
      <c r="C240">
        <v>1</v>
      </c>
      <c r="D240">
        <v>1</v>
      </c>
      <c r="E240" s="12">
        <v>1</v>
      </c>
      <c r="F240">
        <f t="shared" si="3"/>
        <v>3</v>
      </c>
      <c r="J240">
        <v>0</v>
      </c>
      <c r="K240" s="12">
        <v>1</v>
      </c>
      <c r="L240" s="12">
        <v>0</v>
      </c>
    </row>
    <row r="241" spans="1:12" ht="15" customHeight="1">
      <c r="A241" t="s">
        <v>256</v>
      </c>
      <c r="B241" t="s">
        <v>409</v>
      </c>
      <c r="C241">
        <v>1</v>
      </c>
      <c r="D241">
        <v>0</v>
      </c>
      <c r="E241" s="12">
        <v>1</v>
      </c>
      <c r="F241">
        <f t="shared" si="3"/>
        <v>2</v>
      </c>
      <c r="J241">
        <v>0</v>
      </c>
      <c r="K241" s="12">
        <v>1</v>
      </c>
      <c r="L241" s="12">
        <v>0</v>
      </c>
    </row>
    <row r="242" spans="1:12" ht="15" customHeight="1">
      <c r="A242" t="s">
        <v>256</v>
      </c>
      <c r="B242" t="s">
        <v>410</v>
      </c>
      <c r="C242">
        <v>1</v>
      </c>
      <c r="D242">
        <v>1</v>
      </c>
      <c r="E242" s="12">
        <v>1</v>
      </c>
      <c r="F242">
        <f t="shared" si="3"/>
        <v>3</v>
      </c>
      <c r="J242">
        <v>0</v>
      </c>
      <c r="K242" s="12">
        <v>1</v>
      </c>
      <c r="L242" s="12">
        <v>1</v>
      </c>
    </row>
    <row r="243" spans="1:12" ht="15" customHeight="1">
      <c r="A243" t="s">
        <v>256</v>
      </c>
      <c r="B243" t="s">
        <v>411</v>
      </c>
      <c r="C243">
        <v>1</v>
      </c>
      <c r="D243">
        <v>1</v>
      </c>
      <c r="E243" s="12">
        <v>1</v>
      </c>
      <c r="F243">
        <f t="shared" si="3"/>
        <v>3</v>
      </c>
      <c r="J243">
        <v>0</v>
      </c>
      <c r="K243" s="12">
        <v>1</v>
      </c>
      <c r="L243" s="12">
        <v>1</v>
      </c>
    </row>
    <row r="244" spans="1:12" ht="15" customHeight="1">
      <c r="A244" t="s">
        <v>256</v>
      </c>
      <c r="B244" t="s">
        <v>390</v>
      </c>
      <c r="C244">
        <v>1</v>
      </c>
      <c r="D244">
        <v>1</v>
      </c>
      <c r="E244" s="12">
        <v>1</v>
      </c>
      <c r="F244">
        <f t="shared" si="3"/>
        <v>3</v>
      </c>
      <c r="J244">
        <v>0</v>
      </c>
      <c r="K244" s="12">
        <v>1</v>
      </c>
      <c r="L244" s="12">
        <v>0</v>
      </c>
    </row>
    <row r="245" spans="1:12" ht="15" customHeight="1">
      <c r="A245" t="s">
        <v>256</v>
      </c>
      <c r="B245" t="s">
        <v>412</v>
      </c>
      <c r="C245">
        <v>1</v>
      </c>
      <c r="D245">
        <v>1</v>
      </c>
      <c r="E245" s="12">
        <v>1</v>
      </c>
      <c r="F245">
        <f t="shared" si="3"/>
        <v>3</v>
      </c>
      <c r="J245">
        <v>0</v>
      </c>
      <c r="K245" s="12">
        <v>1</v>
      </c>
      <c r="L245" s="12">
        <v>1</v>
      </c>
    </row>
    <row r="246" spans="1:12" ht="15" customHeight="1">
      <c r="A246" t="s">
        <v>256</v>
      </c>
      <c r="B246" t="s">
        <v>413</v>
      </c>
      <c r="C246">
        <v>1</v>
      </c>
      <c r="D246">
        <v>1</v>
      </c>
      <c r="E246" s="12">
        <v>1</v>
      </c>
      <c r="F246">
        <f t="shared" si="3"/>
        <v>3</v>
      </c>
      <c r="J246">
        <v>0</v>
      </c>
      <c r="K246" s="12">
        <v>0</v>
      </c>
      <c r="L246" s="12">
        <v>0</v>
      </c>
    </row>
    <row r="247" spans="1:12" ht="15" customHeight="1">
      <c r="A247" t="s">
        <v>202</v>
      </c>
      <c r="B247" t="s">
        <v>414</v>
      </c>
      <c r="C247">
        <v>1</v>
      </c>
      <c r="D247">
        <v>1</v>
      </c>
      <c r="E247" s="12">
        <v>1</v>
      </c>
      <c r="F247">
        <f t="shared" si="3"/>
        <v>3</v>
      </c>
      <c r="J247">
        <v>0</v>
      </c>
      <c r="K247" s="12">
        <v>1</v>
      </c>
      <c r="L247" s="12">
        <v>0</v>
      </c>
    </row>
    <row r="248" spans="1:12" ht="15" customHeight="1">
      <c r="A248" t="s">
        <v>202</v>
      </c>
      <c r="B248" t="s">
        <v>395</v>
      </c>
      <c r="C248">
        <v>1</v>
      </c>
      <c r="D248">
        <v>1</v>
      </c>
      <c r="E248" s="12">
        <v>1</v>
      </c>
      <c r="F248">
        <f t="shared" si="3"/>
        <v>3</v>
      </c>
      <c r="J248">
        <v>0</v>
      </c>
      <c r="K248" s="12">
        <v>0</v>
      </c>
      <c r="L248" s="12">
        <v>1</v>
      </c>
    </row>
    <row r="249" spans="1:12" ht="15" customHeight="1">
      <c r="A249" t="s">
        <v>202</v>
      </c>
      <c r="B249" t="s">
        <v>396</v>
      </c>
      <c r="C249">
        <v>1</v>
      </c>
      <c r="D249">
        <v>1</v>
      </c>
      <c r="E249" s="12">
        <v>1</v>
      </c>
      <c r="F249">
        <f t="shared" si="3"/>
        <v>3</v>
      </c>
      <c r="J249">
        <v>0</v>
      </c>
      <c r="K249" s="12">
        <v>0</v>
      </c>
      <c r="L249" s="12">
        <v>1</v>
      </c>
    </row>
    <row r="250" spans="1:12" ht="15" customHeight="1">
      <c r="A250" t="s">
        <v>202</v>
      </c>
      <c r="B250" t="s">
        <v>397</v>
      </c>
      <c r="C250">
        <v>0</v>
      </c>
      <c r="D250">
        <v>1</v>
      </c>
      <c r="E250" s="12">
        <v>1</v>
      </c>
      <c r="F250">
        <f t="shared" si="3"/>
        <v>2</v>
      </c>
      <c r="J250">
        <v>0</v>
      </c>
      <c r="K250" s="12">
        <v>0</v>
      </c>
      <c r="L250" s="12">
        <v>1</v>
      </c>
    </row>
    <row r="251" spans="1:12" ht="15" customHeight="1">
      <c r="A251" t="s">
        <v>202</v>
      </c>
      <c r="B251" t="s">
        <v>398</v>
      </c>
      <c r="C251">
        <v>1</v>
      </c>
      <c r="D251">
        <v>0</v>
      </c>
      <c r="E251" s="12">
        <v>1</v>
      </c>
      <c r="F251">
        <f t="shared" si="3"/>
        <v>2</v>
      </c>
      <c r="J251">
        <v>0</v>
      </c>
      <c r="K251" s="12">
        <v>0</v>
      </c>
      <c r="L251" s="12">
        <v>0</v>
      </c>
    </row>
    <row r="252" spans="1:12" ht="15" customHeight="1">
      <c r="A252" t="s">
        <v>202</v>
      </c>
      <c r="B252" t="s">
        <v>399</v>
      </c>
      <c r="C252">
        <v>1</v>
      </c>
      <c r="D252">
        <v>0</v>
      </c>
      <c r="E252" s="12">
        <v>1</v>
      </c>
      <c r="F252">
        <f t="shared" si="3"/>
        <v>2</v>
      </c>
      <c r="J252">
        <v>0</v>
      </c>
      <c r="K252" s="12">
        <v>1</v>
      </c>
      <c r="L252" s="12">
        <v>0</v>
      </c>
    </row>
    <row r="253" spans="1:12" ht="15" customHeight="1">
      <c r="A253" t="s">
        <v>202</v>
      </c>
      <c r="B253" t="s">
        <v>400</v>
      </c>
      <c r="C253">
        <v>0</v>
      </c>
      <c r="D253">
        <v>0</v>
      </c>
      <c r="E253" s="12">
        <v>1</v>
      </c>
      <c r="F253">
        <f t="shared" si="3"/>
        <v>1</v>
      </c>
      <c r="J253">
        <v>0</v>
      </c>
      <c r="K253" s="12">
        <v>1</v>
      </c>
      <c r="L253" s="12">
        <v>1</v>
      </c>
    </row>
    <row r="254" spans="1:12" ht="15" customHeight="1">
      <c r="A254" t="s">
        <v>202</v>
      </c>
      <c r="B254" t="s">
        <v>401</v>
      </c>
      <c r="C254">
        <v>0</v>
      </c>
      <c r="D254">
        <v>0</v>
      </c>
      <c r="E254" s="12">
        <v>1</v>
      </c>
      <c r="F254">
        <f t="shared" si="3"/>
        <v>1</v>
      </c>
      <c r="J254">
        <v>0</v>
      </c>
      <c r="K254" s="12">
        <v>1</v>
      </c>
      <c r="L254" s="12">
        <v>0</v>
      </c>
    </row>
    <row r="255" spans="1:12" ht="15" customHeight="1">
      <c r="A255" t="s">
        <v>202</v>
      </c>
      <c r="B255" t="s">
        <v>415</v>
      </c>
      <c r="C255">
        <v>1</v>
      </c>
      <c r="D255">
        <v>1</v>
      </c>
      <c r="E255" s="12">
        <v>1</v>
      </c>
      <c r="F255">
        <f t="shared" si="3"/>
        <v>3</v>
      </c>
      <c r="J255">
        <v>0</v>
      </c>
      <c r="K255" s="12">
        <v>0</v>
      </c>
      <c r="L255" s="12">
        <v>1</v>
      </c>
    </row>
    <row r="256" spans="1:12" ht="15" customHeight="1">
      <c r="A256" t="s">
        <v>202</v>
      </c>
      <c r="B256" t="s">
        <v>402</v>
      </c>
      <c r="C256">
        <v>1</v>
      </c>
      <c r="D256">
        <v>1</v>
      </c>
      <c r="E256" s="12">
        <v>1</v>
      </c>
      <c r="F256">
        <f t="shared" si="3"/>
        <v>3</v>
      </c>
      <c r="J256">
        <v>0</v>
      </c>
      <c r="K256" s="12">
        <v>0</v>
      </c>
      <c r="L256" s="12">
        <v>0</v>
      </c>
    </row>
    <row r="257" spans="1:12" ht="15" customHeight="1">
      <c r="A257" t="s">
        <v>202</v>
      </c>
      <c r="B257" t="s">
        <v>403</v>
      </c>
      <c r="C257" s="12">
        <v>1</v>
      </c>
      <c r="D257">
        <v>0</v>
      </c>
      <c r="E257" s="12">
        <v>1</v>
      </c>
      <c r="F257">
        <f t="shared" si="3"/>
        <v>2</v>
      </c>
      <c r="J257">
        <v>0</v>
      </c>
      <c r="K257" s="12">
        <v>0</v>
      </c>
      <c r="L257" s="12">
        <v>1</v>
      </c>
    </row>
    <row r="258" spans="1:12" ht="15" customHeight="1">
      <c r="A258" t="s">
        <v>202</v>
      </c>
      <c r="B258" t="s">
        <v>404</v>
      </c>
      <c r="C258" s="12">
        <v>1</v>
      </c>
      <c r="D258">
        <v>0</v>
      </c>
      <c r="E258" s="12">
        <v>1</v>
      </c>
      <c r="F258">
        <f t="shared" si="3"/>
        <v>2</v>
      </c>
      <c r="J258">
        <v>0</v>
      </c>
      <c r="K258" s="12">
        <v>0</v>
      </c>
      <c r="L258" s="12">
        <v>1</v>
      </c>
    </row>
    <row r="259" spans="1:12" ht="15" customHeight="1">
      <c r="A259" t="s">
        <v>202</v>
      </c>
      <c r="B259" t="s">
        <v>405</v>
      </c>
      <c r="C259" s="12">
        <v>1</v>
      </c>
      <c r="D259">
        <v>0</v>
      </c>
      <c r="E259" s="12">
        <v>1</v>
      </c>
      <c r="F259">
        <f t="shared" si="3"/>
        <v>2</v>
      </c>
      <c r="J259">
        <v>0</v>
      </c>
      <c r="K259" s="12">
        <v>0</v>
      </c>
      <c r="L259" s="12">
        <v>1</v>
      </c>
    </row>
    <row r="260" spans="1:12" ht="15" customHeight="1">
      <c r="A260" t="s">
        <v>202</v>
      </c>
      <c r="B260" t="s">
        <v>407</v>
      </c>
      <c r="C260" s="12">
        <v>1</v>
      </c>
      <c r="D260">
        <v>1</v>
      </c>
      <c r="E260" s="12">
        <v>1</v>
      </c>
      <c r="F260">
        <f t="shared" si="3"/>
        <v>3</v>
      </c>
      <c r="J260">
        <v>0</v>
      </c>
      <c r="K260" s="12">
        <v>1</v>
      </c>
      <c r="L260" s="12">
        <v>0</v>
      </c>
    </row>
    <row r="261" spans="1:12" ht="15" customHeight="1">
      <c r="A261" t="s">
        <v>202</v>
      </c>
      <c r="B261" t="s">
        <v>408</v>
      </c>
      <c r="C261" s="12">
        <v>1</v>
      </c>
      <c r="D261">
        <v>0</v>
      </c>
      <c r="E261" s="12">
        <v>1</v>
      </c>
      <c r="F261">
        <f t="shared" si="3"/>
        <v>2</v>
      </c>
      <c r="J261">
        <v>0</v>
      </c>
      <c r="K261" s="12">
        <v>1</v>
      </c>
      <c r="L261" s="12">
        <v>0</v>
      </c>
    </row>
    <row r="262" spans="1:12" ht="15" customHeight="1">
      <c r="A262" t="s">
        <v>202</v>
      </c>
      <c r="B262" t="s">
        <v>416</v>
      </c>
      <c r="C262" s="12">
        <v>1</v>
      </c>
      <c r="D262">
        <v>1</v>
      </c>
      <c r="E262" s="12">
        <v>1</v>
      </c>
      <c r="F262">
        <f t="shared" si="3"/>
        <v>3</v>
      </c>
      <c r="J262">
        <v>0</v>
      </c>
      <c r="K262" s="12">
        <v>1</v>
      </c>
      <c r="L262" s="12">
        <v>0</v>
      </c>
    </row>
    <row r="263" spans="1:12" ht="15" customHeight="1">
      <c r="A263" t="s">
        <v>202</v>
      </c>
      <c r="B263" t="s">
        <v>409</v>
      </c>
      <c r="C263" s="12">
        <v>1</v>
      </c>
      <c r="D263">
        <v>0</v>
      </c>
      <c r="E263" s="12">
        <v>1</v>
      </c>
      <c r="F263">
        <f t="shared" si="3"/>
        <v>2</v>
      </c>
      <c r="J263">
        <v>0</v>
      </c>
      <c r="K263" s="12">
        <v>1</v>
      </c>
      <c r="L263" s="12">
        <v>0</v>
      </c>
    </row>
    <row r="264" spans="1:12" ht="15" customHeight="1">
      <c r="A264" t="s">
        <v>202</v>
      </c>
      <c r="B264" t="s">
        <v>410</v>
      </c>
      <c r="C264" s="12">
        <v>1</v>
      </c>
      <c r="D264">
        <v>1</v>
      </c>
      <c r="E264" s="12">
        <v>1</v>
      </c>
      <c r="F264">
        <f t="shared" si="3"/>
        <v>3</v>
      </c>
      <c r="J264">
        <v>0</v>
      </c>
      <c r="K264" s="12">
        <v>1</v>
      </c>
      <c r="L264" s="12">
        <v>0</v>
      </c>
    </row>
    <row r="265" spans="1:12" ht="15" customHeight="1">
      <c r="A265" t="s">
        <v>202</v>
      </c>
      <c r="B265" t="s">
        <v>411</v>
      </c>
      <c r="C265" s="12">
        <v>1</v>
      </c>
      <c r="D265">
        <v>0</v>
      </c>
      <c r="E265" s="12">
        <v>1</v>
      </c>
      <c r="F265">
        <f t="shared" si="3"/>
        <v>2</v>
      </c>
      <c r="J265">
        <v>0</v>
      </c>
      <c r="K265" s="12">
        <v>1</v>
      </c>
      <c r="L265" s="12">
        <v>1</v>
      </c>
    </row>
    <row r="266" spans="1:12" ht="15" customHeight="1">
      <c r="A266" t="s">
        <v>202</v>
      </c>
      <c r="B266" t="s">
        <v>417</v>
      </c>
      <c r="C266" s="12">
        <v>1</v>
      </c>
      <c r="D266">
        <v>1</v>
      </c>
      <c r="E266" s="12">
        <v>1</v>
      </c>
      <c r="F266">
        <f t="shared" si="3"/>
        <v>3</v>
      </c>
      <c r="J266">
        <v>0</v>
      </c>
      <c r="K266" s="12">
        <v>1</v>
      </c>
      <c r="L266" s="12">
        <v>0</v>
      </c>
    </row>
    <row r="267" spans="1:12" ht="15" customHeight="1">
      <c r="A267" t="s">
        <v>202</v>
      </c>
      <c r="B267" t="s">
        <v>412</v>
      </c>
      <c r="C267" s="12">
        <v>1</v>
      </c>
      <c r="D267">
        <v>0</v>
      </c>
      <c r="E267" s="12">
        <v>1</v>
      </c>
      <c r="F267">
        <f t="shared" si="3"/>
        <v>2</v>
      </c>
      <c r="J267">
        <v>0</v>
      </c>
      <c r="K267" s="12">
        <v>1</v>
      </c>
      <c r="L267" s="12">
        <v>1</v>
      </c>
    </row>
    <row r="268" spans="1:12" ht="15" customHeight="1">
      <c r="A268" t="s">
        <v>202</v>
      </c>
      <c r="B268" t="s">
        <v>418</v>
      </c>
      <c r="C268" s="12">
        <v>1</v>
      </c>
      <c r="D268">
        <v>1</v>
      </c>
      <c r="E268" s="12">
        <v>1</v>
      </c>
      <c r="F268">
        <f t="shared" si="3"/>
        <v>3</v>
      </c>
      <c r="J268">
        <v>0</v>
      </c>
      <c r="K268" s="12">
        <v>0</v>
      </c>
      <c r="L268" s="12">
        <v>0</v>
      </c>
    </row>
    <row r="269" spans="1:12" ht="15" customHeight="1">
      <c r="A269" t="s">
        <v>326</v>
      </c>
      <c r="B269" t="s">
        <v>414</v>
      </c>
      <c r="C269" s="12">
        <v>1</v>
      </c>
      <c r="D269">
        <v>1</v>
      </c>
      <c r="E269" s="12">
        <v>1</v>
      </c>
      <c r="F269">
        <f t="shared" si="3"/>
        <v>3</v>
      </c>
      <c r="J269">
        <v>1</v>
      </c>
      <c r="K269" s="12">
        <v>1</v>
      </c>
      <c r="L269" s="12">
        <v>0</v>
      </c>
    </row>
    <row r="270" spans="1:12" ht="15" customHeight="1">
      <c r="A270" t="s">
        <v>326</v>
      </c>
      <c r="B270" t="s">
        <v>419</v>
      </c>
      <c r="C270" s="12">
        <v>1</v>
      </c>
      <c r="D270">
        <v>0</v>
      </c>
      <c r="E270" s="12">
        <v>1</v>
      </c>
      <c r="F270">
        <f t="shared" si="3"/>
        <v>2</v>
      </c>
      <c r="J270">
        <v>1</v>
      </c>
      <c r="K270" s="12">
        <v>1</v>
      </c>
      <c r="L270" s="12">
        <v>0</v>
      </c>
    </row>
    <row r="271" spans="1:12" ht="15" customHeight="1">
      <c r="A271" t="s">
        <v>326</v>
      </c>
      <c r="B271" t="s">
        <v>420</v>
      </c>
      <c r="C271" s="12">
        <v>1</v>
      </c>
      <c r="D271">
        <v>0</v>
      </c>
      <c r="E271" s="12">
        <v>1</v>
      </c>
      <c r="F271">
        <f t="shared" si="3"/>
        <v>2</v>
      </c>
      <c r="J271">
        <v>0</v>
      </c>
      <c r="K271" s="12">
        <v>1</v>
      </c>
      <c r="L271" s="12">
        <v>0</v>
      </c>
    </row>
    <row r="272" spans="1:12" ht="15" customHeight="1">
      <c r="A272" t="s">
        <v>326</v>
      </c>
      <c r="B272" t="s">
        <v>421</v>
      </c>
      <c r="C272" s="12">
        <v>1</v>
      </c>
      <c r="D272">
        <v>0</v>
      </c>
      <c r="E272" s="12">
        <v>1</v>
      </c>
      <c r="F272">
        <f t="shared" si="3"/>
        <v>2</v>
      </c>
      <c r="J272">
        <v>0</v>
      </c>
      <c r="K272" s="12">
        <v>1</v>
      </c>
      <c r="L272" s="12">
        <v>1</v>
      </c>
    </row>
    <row r="273" spans="1:12" ht="15" customHeight="1">
      <c r="A273" t="s">
        <v>326</v>
      </c>
      <c r="B273" t="s">
        <v>422</v>
      </c>
      <c r="C273" s="12">
        <v>1</v>
      </c>
      <c r="D273">
        <v>0</v>
      </c>
      <c r="E273" s="12">
        <v>1</v>
      </c>
      <c r="F273">
        <f t="shared" si="3"/>
        <v>2</v>
      </c>
      <c r="J273">
        <v>0</v>
      </c>
      <c r="K273" s="12">
        <v>0</v>
      </c>
      <c r="L273" s="12">
        <v>1</v>
      </c>
    </row>
    <row r="274" spans="1:12" ht="15" customHeight="1">
      <c r="A274" t="s">
        <v>326</v>
      </c>
      <c r="B274" t="s">
        <v>423</v>
      </c>
      <c r="C274" s="12">
        <v>1</v>
      </c>
      <c r="D274">
        <v>0</v>
      </c>
      <c r="E274" s="12">
        <v>1</v>
      </c>
      <c r="F274">
        <f t="shared" si="3"/>
        <v>2</v>
      </c>
      <c r="J274">
        <v>0</v>
      </c>
      <c r="K274" s="12">
        <v>1</v>
      </c>
      <c r="L274" s="12">
        <v>0</v>
      </c>
    </row>
    <row r="275" spans="1:12" ht="15" customHeight="1">
      <c r="A275" t="s">
        <v>326</v>
      </c>
      <c r="B275" t="s">
        <v>424</v>
      </c>
      <c r="C275">
        <v>0</v>
      </c>
      <c r="D275">
        <v>1</v>
      </c>
      <c r="E275" s="12">
        <v>1</v>
      </c>
      <c r="F275">
        <f t="shared" si="3"/>
        <v>2</v>
      </c>
      <c r="J275">
        <v>0</v>
      </c>
      <c r="K275" s="12">
        <v>1</v>
      </c>
      <c r="L275" s="12">
        <v>1</v>
      </c>
    </row>
    <row r="276" spans="1:12" ht="15" customHeight="1">
      <c r="A276" t="s">
        <v>326</v>
      </c>
      <c r="B276" t="s">
        <v>383</v>
      </c>
      <c r="C276">
        <v>1</v>
      </c>
      <c r="D276">
        <v>0</v>
      </c>
      <c r="E276" s="12">
        <v>1</v>
      </c>
      <c r="F276">
        <f t="shared" si="3"/>
        <v>2</v>
      </c>
      <c r="J276">
        <v>0</v>
      </c>
      <c r="K276" s="12">
        <v>1</v>
      </c>
      <c r="L276" s="12">
        <v>0</v>
      </c>
    </row>
    <row r="277" spans="1:12" ht="15" customHeight="1">
      <c r="A277" t="s">
        <v>326</v>
      </c>
      <c r="B277" t="s">
        <v>425</v>
      </c>
      <c r="C277" s="12">
        <v>1</v>
      </c>
      <c r="D277">
        <v>0</v>
      </c>
      <c r="E277" s="12">
        <v>1</v>
      </c>
      <c r="F277">
        <f t="shared" si="3"/>
        <v>2</v>
      </c>
      <c r="J277">
        <v>0</v>
      </c>
      <c r="K277" s="12">
        <v>1</v>
      </c>
      <c r="L277" s="12">
        <v>0</v>
      </c>
    </row>
    <row r="278" spans="1:12" ht="15" customHeight="1">
      <c r="A278" t="s">
        <v>326</v>
      </c>
      <c r="B278" t="s">
        <v>426</v>
      </c>
      <c r="C278" s="12">
        <v>1</v>
      </c>
      <c r="D278">
        <v>1</v>
      </c>
      <c r="E278" s="12">
        <v>1</v>
      </c>
      <c r="F278">
        <f t="shared" si="3"/>
        <v>3</v>
      </c>
      <c r="J278">
        <v>0</v>
      </c>
      <c r="K278" s="12">
        <v>1</v>
      </c>
      <c r="L278" s="12">
        <v>0</v>
      </c>
    </row>
    <row r="279" spans="1:12" ht="15" customHeight="1">
      <c r="A279" t="s">
        <v>326</v>
      </c>
      <c r="B279" t="s">
        <v>427</v>
      </c>
      <c r="C279" s="12">
        <v>1</v>
      </c>
      <c r="D279">
        <v>0</v>
      </c>
      <c r="E279" s="12">
        <v>1</v>
      </c>
      <c r="F279">
        <f t="shared" si="3"/>
        <v>2</v>
      </c>
      <c r="J279">
        <v>1</v>
      </c>
      <c r="K279" s="12">
        <v>1</v>
      </c>
      <c r="L279" s="12">
        <v>1</v>
      </c>
    </row>
    <row r="280" spans="1:12" ht="15" customHeight="1">
      <c r="A280" t="s">
        <v>326</v>
      </c>
      <c r="B280" t="s">
        <v>428</v>
      </c>
      <c r="C280" s="12">
        <v>1</v>
      </c>
      <c r="D280">
        <v>0</v>
      </c>
      <c r="E280" s="12">
        <v>1</v>
      </c>
      <c r="F280">
        <f t="shared" si="3"/>
        <v>2</v>
      </c>
      <c r="J280">
        <v>0</v>
      </c>
      <c r="K280" s="12">
        <v>1</v>
      </c>
      <c r="L280" s="12">
        <v>0</v>
      </c>
    </row>
    <row r="281" spans="1:12" ht="15" customHeight="1">
      <c r="A281" t="s">
        <v>326</v>
      </c>
      <c r="B281" t="s">
        <v>429</v>
      </c>
      <c r="C281" s="12">
        <v>1</v>
      </c>
      <c r="D281">
        <v>0</v>
      </c>
      <c r="E281" s="12">
        <v>1</v>
      </c>
      <c r="F281">
        <f t="shared" ref="F281:F290" si="4">SUM(C281:E281)</f>
        <v>2</v>
      </c>
      <c r="J281">
        <v>0</v>
      </c>
      <c r="K281" s="12">
        <v>1</v>
      </c>
      <c r="L281" s="12">
        <v>0</v>
      </c>
    </row>
    <row r="282" spans="1:12" ht="15" customHeight="1">
      <c r="A282" t="s">
        <v>326</v>
      </c>
      <c r="B282" t="s">
        <v>430</v>
      </c>
      <c r="C282" s="12">
        <v>1</v>
      </c>
      <c r="D282">
        <v>0</v>
      </c>
      <c r="E282" s="12">
        <v>1</v>
      </c>
      <c r="F282">
        <f t="shared" si="4"/>
        <v>2</v>
      </c>
      <c r="J282">
        <v>0</v>
      </c>
      <c r="K282" s="12">
        <v>1</v>
      </c>
      <c r="L282" s="12">
        <v>0</v>
      </c>
    </row>
    <row r="283" spans="1:12" ht="15" customHeight="1">
      <c r="A283" t="s">
        <v>326</v>
      </c>
      <c r="B283" t="s">
        <v>431</v>
      </c>
      <c r="C283" s="12">
        <v>1</v>
      </c>
      <c r="D283">
        <v>0</v>
      </c>
      <c r="E283" s="12">
        <v>1</v>
      </c>
      <c r="F283">
        <f t="shared" si="4"/>
        <v>2</v>
      </c>
      <c r="J283">
        <v>0</v>
      </c>
      <c r="K283" s="12">
        <v>1</v>
      </c>
      <c r="L283" s="12">
        <v>1</v>
      </c>
    </row>
    <row r="284" spans="1:12" ht="15" customHeight="1">
      <c r="A284" t="s">
        <v>326</v>
      </c>
      <c r="B284" t="s">
        <v>432</v>
      </c>
      <c r="C284" s="12">
        <v>1</v>
      </c>
      <c r="D284">
        <v>0</v>
      </c>
      <c r="E284" s="12">
        <v>1</v>
      </c>
      <c r="F284">
        <f t="shared" si="4"/>
        <v>2</v>
      </c>
      <c r="J284">
        <v>0</v>
      </c>
      <c r="K284" s="12">
        <v>1</v>
      </c>
      <c r="L284" s="12">
        <v>0</v>
      </c>
    </row>
    <row r="285" spans="1:12" ht="15" customHeight="1">
      <c r="A285" t="s">
        <v>326</v>
      </c>
      <c r="B285" t="s">
        <v>433</v>
      </c>
      <c r="C285" s="12">
        <v>1</v>
      </c>
      <c r="D285">
        <v>0</v>
      </c>
      <c r="E285" s="12">
        <v>1</v>
      </c>
      <c r="F285">
        <f t="shared" si="4"/>
        <v>2</v>
      </c>
      <c r="J285">
        <v>0</v>
      </c>
      <c r="K285" s="12">
        <v>1</v>
      </c>
      <c r="L285" s="12">
        <v>0</v>
      </c>
    </row>
    <row r="286" spans="1:12" ht="15" customHeight="1">
      <c r="A286" t="s">
        <v>326</v>
      </c>
      <c r="B286" t="s">
        <v>434</v>
      </c>
      <c r="C286" s="12">
        <v>1</v>
      </c>
      <c r="D286">
        <v>0</v>
      </c>
      <c r="E286" s="12">
        <v>1</v>
      </c>
      <c r="F286">
        <f t="shared" si="4"/>
        <v>2</v>
      </c>
      <c r="J286">
        <v>1</v>
      </c>
      <c r="K286" s="12">
        <v>1</v>
      </c>
      <c r="L286" s="12">
        <v>1</v>
      </c>
    </row>
    <row r="287" spans="1:12" ht="15" customHeight="1">
      <c r="A287" t="s">
        <v>326</v>
      </c>
      <c r="B287" t="s">
        <v>435</v>
      </c>
      <c r="C287" s="12">
        <v>1</v>
      </c>
      <c r="D287">
        <v>0</v>
      </c>
      <c r="E287" s="12">
        <v>1</v>
      </c>
      <c r="F287">
        <f t="shared" si="4"/>
        <v>2</v>
      </c>
      <c r="J287">
        <v>0</v>
      </c>
      <c r="K287" s="12">
        <v>0</v>
      </c>
      <c r="L287" s="12">
        <v>1</v>
      </c>
    </row>
    <row r="288" spans="1:12" ht="15" customHeight="1">
      <c r="A288" t="s">
        <v>326</v>
      </c>
      <c r="B288" t="s">
        <v>436</v>
      </c>
      <c r="C288" s="12">
        <v>1</v>
      </c>
      <c r="D288">
        <v>0</v>
      </c>
      <c r="E288" s="12">
        <v>1</v>
      </c>
      <c r="F288">
        <f t="shared" si="4"/>
        <v>2</v>
      </c>
      <c r="J288">
        <v>0</v>
      </c>
      <c r="K288" s="12">
        <v>1</v>
      </c>
      <c r="L288" s="12">
        <v>0</v>
      </c>
    </row>
    <row r="289" spans="1:12" ht="15" customHeight="1">
      <c r="A289" t="s">
        <v>326</v>
      </c>
      <c r="B289" t="s">
        <v>437</v>
      </c>
      <c r="C289" s="12">
        <v>1</v>
      </c>
      <c r="D289">
        <v>0</v>
      </c>
      <c r="E289" s="12">
        <v>1</v>
      </c>
      <c r="F289">
        <f t="shared" si="4"/>
        <v>2</v>
      </c>
      <c r="J289">
        <v>0</v>
      </c>
      <c r="K289" s="12">
        <v>1</v>
      </c>
      <c r="L289" s="12">
        <v>1</v>
      </c>
    </row>
    <row r="290" spans="1:12" ht="15" customHeight="1">
      <c r="A290" t="s">
        <v>326</v>
      </c>
      <c r="B290" t="s">
        <v>438</v>
      </c>
      <c r="C290" s="12">
        <v>1</v>
      </c>
      <c r="D290" s="12">
        <v>0</v>
      </c>
      <c r="E290" s="12">
        <v>1</v>
      </c>
      <c r="F290">
        <f t="shared" si="4"/>
        <v>2</v>
      </c>
      <c r="J290" s="12">
        <v>1</v>
      </c>
      <c r="K290" s="12">
        <v>0</v>
      </c>
      <c r="L290" s="12">
        <v>0</v>
      </c>
    </row>
  </sheetData>
  <autoFilter ref="A24:J290" xr:uid="{850608C2-3CD3-4919-9B66-B0E6A03D7BC9}"/>
  <mergeCells count="1">
    <mergeCell ref="F23:I23"/>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C7F78-75D8-437F-A2B7-D8981DD42E18}">
  <dimension ref="A1:D80"/>
  <sheetViews>
    <sheetView topLeftCell="A21" workbookViewId="0">
      <selection activeCell="K37" sqref="K37"/>
    </sheetView>
  </sheetViews>
  <sheetFormatPr defaultRowHeight="14.4"/>
  <cols>
    <col min="1" max="1" width="21.6640625" style="20" bestFit="1" customWidth="1"/>
    <col min="2" max="2" width="49.21875" style="20" bestFit="1" customWidth="1"/>
  </cols>
  <sheetData>
    <row r="1" spans="1:3">
      <c r="A1" s="24" t="s">
        <v>167</v>
      </c>
      <c r="B1" s="24" t="s">
        <v>492</v>
      </c>
    </row>
    <row r="2" spans="1:3">
      <c r="A2" s="20" t="s">
        <v>439</v>
      </c>
      <c r="B2" s="22" t="s">
        <v>441</v>
      </c>
    </row>
    <row r="3" spans="1:3">
      <c r="A3" s="20" t="s">
        <v>439</v>
      </c>
      <c r="B3" s="22" t="s">
        <v>468</v>
      </c>
    </row>
    <row r="4" spans="1:3">
      <c r="A4" s="20" t="s">
        <v>439</v>
      </c>
      <c r="B4" s="22" t="s">
        <v>469</v>
      </c>
    </row>
    <row r="5" spans="1:3">
      <c r="A5" s="20" t="s">
        <v>439</v>
      </c>
      <c r="B5" s="22" t="s">
        <v>470</v>
      </c>
    </row>
    <row r="6" spans="1:3">
      <c r="A6" s="20" t="s">
        <v>439</v>
      </c>
      <c r="B6" s="22" t="s">
        <v>471</v>
      </c>
    </row>
    <row r="7" spans="1:3">
      <c r="A7" s="20" t="s">
        <v>439</v>
      </c>
      <c r="B7" s="22" t="s">
        <v>472</v>
      </c>
    </row>
    <row r="8" spans="1:3">
      <c r="A8" s="20" t="s">
        <v>439</v>
      </c>
      <c r="B8" s="22" t="s">
        <v>473</v>
      </c>
    </row>
    <row r="9" spans="1:3" ht="15.6">
      <c r="A9" s="20" t="s">
        <v>439</v>
      </c>
      <c r="B9" s="22" t="s">
        <v>440</v>
      </c>
      <c r="C9" s="18"/>
    </row>
    <row r="10" spans="1:3">
      <c r="A10" s="20" t="s">
        <v>439</v>
      </c>
      <c r="B10" s="22" t="s">
        <v>474</v>
      </c>
    </row>
    <row r="11" spans="1:3">
      <c r="A11" s="20" t="s">
        <v>439</v>
      </c>
      <c r="B11" s="22" t="s">
        <v>493</v>
      </c>
    </row>
    <row r="12" spans="1:3">
      <c r="A12" s="20" t="s">
        <v>439</v>
      </c>
      <c r="B12" s="22" t="s">
        <v>475</v>
      </c>
    </row>
    <row r="13" spans="1:3">
      <c r="A13" s="20" t="s">
        <v>439</v>
      </c>
      <c r="B13" s="22" t="s">
        <v>445</v>
      </c>
    </row>
    <row r="14" spans="1:3" ht="15.6">
      <c r="A14" s="20" t="s">
        <v>439</v>
      </c>
      <c r="B14" s="22" t="s">
        <v>446</v>
      </c>
      <c r="C14" s="18"/>
    </row>
    <row r="15" spans="1:3">
      <c r="A15" s="20" t="s">
        <v>439</v>
      </c>
      <c r="B15" s="22" t="s">
        <v>476</v>
      </c>
    </row>
    <row r="16" spans="1:3">
      <c r="A16" s="20" t="s">
        <v>439</v>
      </c>
      <c r="B16" s="22" t="s">
        <v>477</v>
      </c>
    </row>
    <row r="17" spans="1:3" ht="15.6">
      <c r="A17" s="21" t="s">
        <v>491</v>
      </c>
      <c r="B17" s="22" t="s">
        <v>442</v>
      </c>
      <c r="C17" s="18"/>
    </row>
    <row r="18" spans="1:3">
      <c r="A18" s="21" t="s">
        <v>491</v>
      </c>
      <c r="B18" s="22" t="s">
        <v>478</v>
      </c>
    </row>
    <row r="19" spans="1:3">
      <c r="A19" s="21" t="s">
        <v>491</v>
      </c>
      <c r="B19" s="22" t="s">
        <v>479</v>
      </c>
    </row>
    <row r="20" spans="1:3">
      <c r="A20" s="21" t="s">
        <v>491</v>
      </c>
      <c r="B20" s="22" t="s">
        <v>465</v>
      </c>
    </row>
    <row r="21" spans="1:3">
      <c r="A21" s="21" t="s">
        <v>491</v>
      </c>
      <c r="B21" s="22" t="s">
        <v>466</v>
      </c>
    </row>
    <row r="22" spans="1:3">
      <c r="A22" s="21" t="s">
        <v>491</v>
      </c>
      <c r="B22" s="22" t="s">
        <v>480</v>
      </c>
    </row>
    <row r="23" spans="1:3">
      <c r="A23" s="21" t="s">
        <v>491</v>
      </c>
      <c r="B23" s="22" t="s">
        <v>455</v>
      </c>
    </row>
    <row r="24" spans="1:3">
      <c r="A24" s="21" t="s">
        <v>491</v>
      </c>
      <c r="B24" s="22" t="s">
        <v>456</v>
      </c>
    </row>
    <row r="25" spans="1:3">
      <c r="A25" s="21" t="s">
        <v>491</v>
      </c>
      <c r="B25" s="22" t="s">
        <v>457</v>
      </c>
    </row>
    <row r="26" spans="1:3">
      <c r="A26" s="21" t="s">
        <v>491</v>
      </c>
      <c r="B26" s="22" t="s">
        <v>458</v>
      </c>
    </row>
    <row r="27" spans="1:3">
      <c r="A27" s="21" t="s">
        <v>491</v>
      </c>
      <c r="B27" s="22" t="s">
        <v>459</v>
      </c>
    </row>
    <row r="28" spans="1:3">
      <c r="A28" s="21" t="s">
        <v>491</v>
      </c>
      <c r="B28" s="22" t="s">
        <v>460</v>
      </c>
    </row>
    <row r="29" spans="1:3">
      <c r="A29" s="21" t="s">
        <v>491</v>
      </c>
      <c r="B29" s="22" t="s">
        <v>461</v>
      </c>
    </row>
    <row r="30" spans="1:3">
      <c r="A30" s="21" t="s">
        <v>491</v>
      </c>
      <c r="B30" s="22" t="s">
        <v>462</v>
      </c>
    </row>
    <row r="31" spans="1:3">
      <c r="A31" s="21" t="s">
        <v>491</v>
      </c>
      <c r="B31" s="22" t="s">
        <v>463</v>
      </c>
    </row>
    <row r="32" spans="1:3">
      <c r="A32" s="21" t="s">
        <v>491</v>
      </c>
      <c r="B32" s="22" t="s">
        <v>481</v>
      </c>
    </row>
    <row r="33" spans="1:4">
      <c r="A33" s="21" t="s">
        <v>491</v>
      </c>
      <c r="B33" s="22" t="s">
        <v>464</v>
      </c>
    </row>
    <row r="34" spans="1:4">
      <c r="A34" s="21" t="s">
        <v>491</v>
      </c>
      <c r="B34" s="22" t="s">
        <v>467</v>
      </c>
      <c r="C34" s="20"/>
    </row>
    <row r="35" spans="1:4">
      <c r="A35" s="21" t="s">
        <v>491</v>
      </c>
      <c r="B35" s="22" t="s">
        <v>482</v>
      </c>
      <c r="C35" s="20"/>
    </row>
    <row r="36" spans="1:4">
      <c r="A36" s="20" t="s">
        <v>443</v>
      </c>
      <c r="B36" s="22" t="s">
        <v>454</v>
      </c>
      <c r="C36" s="20"/>
    </row>
    <row r="37" spans="1:4">
      <c r="A37" s="20" t="s">
        <v>443</v>
      </c>
      <c r="B37" s="22" t="s">
        <v>483</v>
      </c>
      <c r="C37" s="20"/>
    </row>
    <row r="38" spans="1:4">
      <c r="A38" s="20" t="s">
        <v>443</v>
      </c>
      <c r="B38" s="22" t="s">
        <v>484</v>
      </c>
      <c r="C38" s="20"/>
    </row>
    <row r="39" spans="1:4">
      <c r="A39" s="20" t="s">
        <v>443</v>
      </c>
      <c r="B39" s="22" t="s">
        <v>485</v>
      </c>
      <c r="C39" s="20"/>
    </row>
    <row r="40" spans="1:4" ht="21.6">
      <c r="A40" s="20" t="s">
        <v>443</v>
      </c>
      <c r="B40" s="22" t="s">
        <v>447</v>
      </c>
      <c r="C40" s="20"/>
      <c r="D40" s="19"/>
    </row>
    <row r="41" spans="1:4">
      <c r="A41" s="20" t="s">
        <v>443</v>
      </c>
      <c r="B41" s="22" t="s">
        <v>444</v>
      </c>
      <c r="C41" s="20"/>
    </row>
    <row r="42" spans="1:4">
      <c r="A42" s="20" t="s">
        <v>443</v>
      </c>
      <c r="B42" s="22" t="s">
        <v>449</v>
      </c>
      <c r="C42" s="20"/>
    </row>
    <row r="43" spans="1:4">
      <c r="A43" s="20" t="s">
        <v>443</v>
      </c>
      <c r="B43" s="22" t="s">
        <v>486</v>
      </c>
      <c r="C43" s="20"/>
    </row>
    <row r="44" spans="1:4">
      <c r="A44" s="20" t="s">
        <v>443</v>
      </c>
      <c r="B44" s="22" t="s">
        <v>452</v>
      </c>
      <c r="C44" s="20"/>
    </row>
    <row r="45" spans="1:4">
      <c r="A45" s="20" t="s">
        <v>443</v>
      </c>
      <c r="B45" s="22" t="s">
        <v>487</v>
      </c>
      <c r="C45" s="20"/>
    </row>
    <row r="46" spans="1:4">
      <c r="A46" s="20" t="s">
        <v>443</v>
      </c>
      <c r="B46" s="22" t="s">
        <v>450</v>
      </c>
      <c r="C46" s="20"/>
    </row>
    <row r="47" spans="1:4">
      <c r="A47" s="20" t="s">
        <v>443</v>
      </c>
      <c r="B47" s="22" t="s">
        <v>488</v>
      </c>
      <c r="C47" s="20"/>
    </row>
    <row r="48" spans="1:4">
      <c r="A48" s="20" t="s">
        <v>443</v>
      </c>
      <c r="B48" s="22" t="s">
        <v>489</v>
      </c>
      <c r="C48" s="20"/>
    </row>
    <row r="49" spans="1:3">
      <c r="A49" s="20" t="s">
        <v>443</v>
      </c>
      <c r="B49" s="22" t="s">
        <v>448</v>
      </c>
      <c r="C49" s="20"/>
    </row>
    <row r="50" spans="1:3">
      <c r="A50" s="20" t="s">
        <v>443</v>
      </c>
      <c r="B50" s="22" t="s">
        <v>453</v>
      </c>
      <c r="C50" s="20"/>
    </row>
    <row r="51" spans="1:3">
      <c r="A51" s="20" t="s">
        <v>443</v>
      </c>
      <c r="B51" s="22" t="s">
        <v>451</v>
      </c>
      <c r="C51" s="20"/>
    </row>
    <row r="52" spans="1:3">
      <c r="A52" s="20" t="s">
        <v>443</v>
      </c>
      <c r="B52" s="22" t="s">
        <v>490</v>
      </c>
      <c r="C52" s="20"/>
    </row>
    <row r="53" spans="1:3">
      <c r="A53" s="20" t="s">
        <v>443</v>
      </c>
      <c r="B53" s="22" t="s">
        <v>494</v>
      </c>
      <c r="C53" s="20"/>
    </row>
    <row r="54" spans="1:3">
      <c r="A54" s="20" t="s">
        <v>443</v>
      </c>
      <c r="B54" s="22" t="s">
        <v>495</v>
      </c>
    </row>
    <row r="62" spans="1:3">
      <c r="B62" s="23"/>
    </row>
    <row r="63" spans="1:3">
      <c r="B63" s="23"/>
    </row>
    <row r="64" spans="1:3">
      <c r="B64" s="23"/>
    </row>
    <row r="65" spans="2:2">
      <c r="B65" s="23"/>
    </row>
    <row r="66" spans="2:2">
      <c r="B66" s="23"/>
    </row>
    <row r="67" spans="2:2">
      <c r="B67" s="23"/>
    </row>
    <row r="68" spans="2:2">
      <c r="B68" s="23"/>
    </row>
    <row r="69" spans="2:2">
      <c r="B69" s="23"/>
    </row>
    <row r="70" spans="2:2">
      <c r="B70" s="23"/>
    </row>
    <row r="71" spans="2:2">
      <c r="B71" s="23"/>
    </row>
    <row r="72" spans="2:2">
      <c r="B72" s="23"/>
    </row>
    <row r="73" spans="2:2">
      <c r="B73" s="23"/>
    </row>
    <row r="74" spans="2:2">
      <c r="B74" s="23"/>
    </row>
    <row r="75" spans="2:2">
      <c r="B75" s="23"/>
    </row>
    <row r="76" spans="2:2">
      <c r="B76" s="23"/>
    </row>
    <row r="77" spans="2:2">
      <c r="B77" s="23"/>
    </row>
    <row r="78" spans="2:2">
      <c r="B78" s="23"/>
    </row>
    <row r="79" spans="2:2">
      <c r="B79" s="23"/>
    </row>
    <row r="80" spans="2:2">
      <c r="B80" s="23"/>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5CF96-BA59-4DC2-B242-4FA9DFF92880}">
  <dimension ref="A1:P418"/>
  <sheetViews>
    <sheetView topLeftCell="A115" workbookViewId="0">
      <selection activeCell="K167" sqref="K167"/>
    </sheetView>
  </sheetViews>
  <sheetFormatPr defaultRowHeight="14.4"/>
  <cols>
    <col min="1" max="1" width="15" style="30" customWidth="1"/>
    <col min="2" max="2" width="12.77734375" style="30" bestFit="1" customWidth="1"/>
    <col min="3" max="3" width="23.5546875" style="30" hidden="1" customWidth="1"/>
    <col min="4" max="4" width="12.21875" style="30" hidden="1" customWidth="1"/>
    <col min="5" max="5" width="13.77734375" style="30" hidden="1" customWidth="1"/>
    <col min="6" max="6" width="11.21875" style="30" hidden="1" customWidth="1"/>
    <col min="7" max="7" width="13.77734375" style="30" hidden="1" customWidth="1"/>
    <col min="8" max="8" width="11" style="30" hidden="1" customWidth="1"/>
    <col min="9" max="9" width="11.77734375" style="30" customWidth="1"/>
    <col min="10" max="10" width="14.21875" style="30" customWidth="1"/>
    <col min="11" max="11" width="71.21875" style="30" customWidth="1"/>
    <col min="12" max="12" width="17.21875" style="30" customWidth="1"/>
    <col min="13" max="13" width="9.21875" style="30" customWidth="1"/>
    <col min="14" max="14" width="10.5546875" style="30" customWidth="1"/>
    <col min="15" max="15" width="8.88671875" style="30"/>
  </cols>
  <sheetData>
    <row r="1" spans="1:16" s="41" customFormat="1">
      <c r="A1" s="40" t="s">
        <v>667</v>
      </c>
      <c r="B1" s="40" t="s">
        <v>165</v>
      </c>
      <c r="C1" s="40" t="s">
        <v>668</v>
      </c>
      <c r="D1" s="40" t="s">
        <v>669</v>
      </c>
      <c r="E1" s="40" t="s">
        <v>670</v>
      </c>
      <c r="F1" s="40" t="s">
        <v>671</v>
      </c>
      <c r="G1" s="40" t="s">
        <v>630</v>
      </c>
      <c r="H1" s="40" t="s">
        <v>672</v>
      </c>
      <c r="I1" s="40" t="s">
        <v>673</v>
      </c>
      <c r="J1" s="40" t="s">
        <v>674</v>
      </c>
      <c r="K1" s="40" t="s">
        <v>675</v>
      </c>
      <c r="L1" s="40" t="s">
        <v>1</v>
      </c>
      <c r="M1" s="40" t="s">
        <v>676</v>
      </c>
      <c r="N1" s="40" t="s">
        <v>677</v>
      </c>
      <c r="O1" s="40" t="s">
        <v>678</v>
      </c>
      <c r="P1" s="41" t="s">
        <v>679</v>
      </c>
    </row>
    <row r="2" spans="1:16" s="43" customFormat="1">
      <c r="A2" s="42" t="s">
        <v>601</v>
      </c>
      <c r="B2" s="42" t="s">
        <v>256</v>
      </c>
      <c r="C2" s="42">
        <v>0</v>
      </c>
      <c r="D2" s="42">
        <v>1</v>
      </c>
      <c r="E2" s="42">
        <v>1</v>
      </c>
      <c r="F2" s="42">
        <v>0</v>
      </c>
      <c r="G2" s="42">
        <v>0</v>
      </c>
      <c r="H2" s="42">
        <v>0</v>
      </c>
      <c r="I2" s="42" t="s">
        <v>601</v>
      </c>
      <c r="J2" s="42" t="s">
        <v>680</v>
      </c>
      <c r="K2" s="42" t="s">
        <v>681</v>
      </c>
      <c r="L2" s="42" t="s">
        <v>682</v>
      </c>
      <c r="M2" s="42" t="s">
        <v>683</v>
      </c>
      <c r="N2" s="42" t="s">
        <v>684</v>
      </c>
      <c r="O2" s="42" t="s">
        <v>685</v>
      </c>
    </row>
    <row r="3" spans="1:16" s="43" customFormat="1">
      <c r="A3" s="42" t="s">
        <v>601</v>
      </c>
      <c r="B3" s="42" t="s">
        <v>256</v>
      </c>
      <c r="C3" s="42">
        <v>0</v>
      </c>
      <c r="D3" s="42">
        <v>1</v>
      </c>
      <c r="E3" s="42">
        <v>1</v>
      </c>
      <c r="F3" s="42">
        <v>0</v>
      </c>
      <c r="G3" s="42">
        <v>0</v>
      </c>
      <c r="H3" s="42">
        <v>0</v>
      </c>
      <c r="I3" s="42" t="s">
        <v>641</v>
      </c>
      <c r="J3" s="42" t="s">
        <v>686</v>
      </c>
      <c r="K3" s="42" t="s">
        <v>687</v>
      </c>
      <c r="L3" s="42" t="s">
        <v>688</v>
      </c>
      <c r="M3" s="42" t="s">
        <v>683</v>
      </c>
      <c r="N3" s="42" t="s">
        <v>684</v>
      </c>
      <c r="O3" s="42" t="s">
        <v>685</v>
      </c>
    </row>
    <row r="4" spans="1:16" s="43" customFormat="1">
      <c r="A4" s="42" t="s">
        <v>601</v>
      </c>
      <c r="B4" s="42" t="s">
        <v>256</v>
      </c>
      <c r="C4" s="42">
        <v>0</v>
      </c>
      <c r="D4" s="42">
        <v>1</v>
      </c>
      <c r="E4" s="42">
        <v>1</v>
      </c>
      <c r="F4" s="42">
        <v>0</v>
      </c>
      <c r="G4" s="42">
        <v>0</v>
      </c>
      <c r="H4" s="42">
        <v>0</v>
      </c>
      <c r="I4" s="42" t="s">
        <v>601</v>
      </c>
      <c r="J4" s="42" t="s">
        <v>680</v>
      </c>
      <c r="K4" s="42" t="s">
        <v>689</v>
      </c>
      <c r="L4" s="42" t="s">
        <v>688</v>
      </c>
      <c r="M4" s="42" t="s">
        <v>683</v>
      </c>
      <c r="N4" s="42" t="s">
        <v>684</v>
      </c>
      <c r="O4" s="42" t="s">
        <v>690</v>
      </c>
    </row>
    <row r="5" spans="1:16" s="43" customFormat="1">
      <c r="A5" s="42" t="s">
        <v>601</v>
      </c>
      <c r="B5" s="42" t="s">
        <v>256</v>
      </c>
      <c r="C5" s="42">
        <v>0</v>
      </c>
      <c r="D5" s="42">
        <v>1</v>
      </c>
      <c r="E5" s="42">
        <v>1</v>
      </c>
      <c r="F5" s="42">
        <v>0</v>
      </c>
      <c r="G5" s="42">
        <v>0</v>
      </c>
      <c r="H5" s="42">
        <v>0</v>
      </c>
      <c r="I5" s="42" t="s">
        <v>601</v>
      </c>
      <c r="J5" s="42" t="s">
        <v>680</v>
      </c>
      <c r="K5" s="42" t="s">
        <v>691</v>
      </c>
      <c r="L5" s="42" t="s">
        <v>688</v>
      </c>
      <c r="M5" s="42" t="s">
        <v>683</v>
      </c>
      <c r="N5" s="42" t="s">
        <v>692</v>
      </c>
      <c r="O5" s="42" t="s">
        <v>693</v>
      </c>
    </row>
    <row r="6" spans="1:16" s="43" customFormat="1">
      <c r="A6" s="42" t="s">
        <v>618</v>
      </c>
      <c r="B6" s="42" t="s">
        <v>256</v>
      </c>
      <c r="C6" s="42">
        <v>1</v>
      </c>
      <c r="D6" s="42">
        <v>0</v>
      </c>
      <c r="E6" s="42">
        <v>1</v>
      </c>
      <c r="F6" s="42">
        <v>1</v>
      </c>
      <c r="G6" s="42">
        <v>1</v>
      </c>
      <c r="H6" s="42">
        <v>1</v>
      </c>
      <c r="I6" s="42" t="s">
        <v>618</v>
      </c>
      <c r="J6" s="42" t="s">
        <v>618</v>
      </c>
      <c r="K6" s="42" t="s">
        <v>694</v>
      </c>
      <c r="L6" s="42" t="s">
        <v>695</v>
      </c>
      <c r="M6" s="42" t="s">
        <v>683</v>
      </c>
      <c r="N6" s="42" t="s">
        <v>684</v>
      </c>
      <c r="O6" s="42" t="s">
        <v>690</v>
      </c>
    </row>
    <row r="7" spans="1:16" s="43" customFormat="1">
      <c r="A7" s="42" t="s">
        <v>618</v>
      </c>
      <c r="B7" s="42" t="s">
        <v>256</v>
      </c>
      <c r="C7" s="42">
        <v>1</v>
      </c>
      <c r="D7" s="42">
        <v>0</v>
      </c>
      <c r="E7" s="42">
        <v>1</v>
      </c>
      <c r="F7" s="42">
        <v>1</v>
      </c>
      <c r="G7" s="42">
        <v>1</v>
      </c>
      <c r="H7" s="42">
        <v>1</v>
      </c>
      <c r="I7" s="42" t="s">
        <v>603</v>
      </c>
      <c r="J7" s="42" t="s">
        <v>618</v>
      </c>
      <c r="K7" s="42" t="s">
        <v>696</v>
      </c>
      <c r="L7" s="42" t="s">
        <v>697</v>
      </c>
      <c r="M7" s="42" t="s">
        <v>683</v>
      </c>
      <c r="N7" s="42" t="s">
        <v>698</v>
      </c>
      <c r="O7" s="42" t="s">
        <v>699</v>
      </c>
    </row>
    <row r="8" spans="1:16" s="43" customFormat="1">
      <c r="A8" s="42" t="s">
        <v>618</v>
      </c>
      <c r="B8" s="42" t="s">
        <v>256</v>
      </c>
      <c r="C8" s="42">
        <v>1</v>
      </c>
      <c r="D8" s="42">
        <v>0</v>
      </c>
      <c r="E8" s="42">
        <v>1</v>
      </c>
      <c r="F8" s="42">
        <v>1</v>
      </c>
      <c r="G8" s="42">
        <v>1</v>
      </c>
      <c r="H8" s="42">
        <v>1</v>
      </c>
      <c r="I8" s="42" t="s">
        <v>618</v>
      </c>
      <c r="J8" s="42" t="s">
        <v>618</v>
      </c>
      <c r="K8" s="42" t="s">
        <v>700</v>
      </c>
      <c r="L8" s="42" t="s">
        <v>701</v>
      </c>
      <c r="M8" s="42" t="s">
        <v>683</v>
      </c>
      <c r="N8" s="42" t="s">
        <v>702</v>
      </c>
      <c r="O8" s="42" t="s">
        <v>693</v>
      </c>
    </row>
    <row r="9" spans="1:16" s="43" customFormat="1">
      <c r="A9" s="42" t="s">
        <v>618</v>
      </c>
      <c r="B9" s="42" t="s">
        <v>256</v>
      </c>
      <c r="C9" s="42">
        <v>1</v>
      </c>
      <c r="D9" s="42">
        <v>0</v>
      </c>
      <c r="E9" s="42">
        <v>1</v>
      </c>
      <c r="F9" s="42">
        <v>1</v>
      </c>
      <c r="G9" s="42">
        <v>1</v>
      </c>
      <c r="H9" s="42">
        <v>1</v>
      </c>
      <c r="I9" s="42" t="s">
        <v>618</v>
      </c>
      <c r="J9" s="42" t="s">
        <v>618</v>
      </c>
      <c r="K9" s="42" t="s">
        <v>703</v>
      </c>
      <c r="L9" s="42" t="s">
        <v>704</v>
      </c>
      <c r="M9" s="42" t="s">
        <v>683</v>
      </c>
      <c r="N9" s="42" t="s">
        <v>705</v>
      </c>
      <c r="O9" s="42" t="s">
        <v>690</v>
      </c>
    </row>
    <row r="10" spans="1:16" s="43" customFormat="1">
      <c r="A10" s="42" t="s">
        <v>636</v>
      </c>
      <c r="B10" s="42" t="s">
        <v>326</v>
      </c>
      <c r="C10" s="42">
        <v>1</v>
      </c>
      <c r="D10" s="42">
        <v>0</v>
      </c>
      <c r="E10" s="42">
        <v>0</v>
      </c>
      <c r="F10" s="42">
        <v>1</v>
      </c>
      <c r="G10" s="42">
        <v>0</v>
      </c>
      <c r="H10" s="42">
        <v>1</v>
      </c>
      <c r="I10" s="42" t="s">
        <v>636</v>
      </c>
      <c r="J10" s="42" t="s">
        <v>686</v>
      </c>
      <c r="K10" s="42" t="s">
        <v>706</v>
      </c>
      <c r="L10" s="42" t="s">
        <v>707</v>
      </c>
      <c r="M10" s="42" t="s">
        <v>683</v>
      </c>
      <c r="N10" s="42" t="s">
        <v>702</v>
      </c>
      <c r="O10" s="42" t="s">
        <v>693</v>
      </c>
    </row>
    <row r="11" spans="1:16" s="43" customFormat="1">
      <c r="A11" s="42" t="s">
        <v>636</v>
      </c>
      <c r="B11" s="42" t="s">
        <v>326</v>
      </c>
      <c r="C11" s="42">
        <v>1</v>
      </c>
      <c r="D11" s="42">
        <v>0</v>
      </c>
      <c r="E11" s="42">
        <v>0</v>
      </c>
      <c r="F11" s="42">
        <v>1</v>
      </c>
      <c r="G11" s="42">
        <v>0</v>
      </c>
      <c r="H11" s="42">
        <v>1</v>
      </c>
      <c r="I11" s="42" t="s">
        <v>636</v>
      </c>
      <c r="J11" s="42" t="s">
        <v>686</v>
      </c>
      <c r="K11" s="42" t="s">
        <v>708</v>
      </c>
      <c r="L11" s="42" t="s">
        <v>709</v>
      </c>
      <c r="M11" s="42" t="s">
        <v>683</v>
      </c>
      <c r="N11" s="42" t="s">
        <v>710</v>
      </c>
      <c r="O11" s="42" t="s">
        <v>710</v>
      </c>
    </row>
    <row r="12" spans="1:16" s="43" customFormat="1">
      <c r="A12" s="42" t="s">
        <v>636</v>
      </c>
      <c r="B12" s="42" t="s">
        <v>326</v>
      </c>
      <c r="C12" s="42">
        <v>1</v>
      </c>
      <c r="D12" s="42">
        <v>0</v>
      </c>
      <c r="E12" s="42">
        <v>0</v>
      </c>
      <c r="F12" s="42">
        <v>1</v>
      </c>
      <c r="G12" s="42">
        <v>0</v>
      </c>
      <c r="H12" s="42">
        <v>1</v>
      </c>
      <c r="I12" s="42" t="s">
        <v>636</v>
      </c>
      <c r="J12" s="42" t="s">
        <v>686</v>
      </c>
      <c r="K12" s="42" t="s">
        <v>711</v>
      </c>
      <c r="L12" s="42" t="s">
        <v>712</v>
      </c>
      <c r="M12" s="42" t="s">
        <v>683</v>
      </c>
      <c r="N12" s="42" t="s">
        <v>702</v>
      </c>
      <c r="O12" s="42" t="s">
        <v>693</v>
      </c>
    </row>
    <row r="13" spans="1:16" s="43" customFormat="1">
      <c r="A13" s="42" t="s">
        <v>636</v>
      </c>
      <c r="B13" s="42" t="s">
        <v>326</v>
      </c>
      <c r="C13" s="42">
        <v>1</v>
      </c>
      <c r="D13" s="42">
        <v>0</v>
      </c>
      <c r="E13" s="42">
        <v>0</v>
      </c>
      <c r="F13" s="42">
        <v>1</v>
      </c>
      <c r="G13" s="42">
        <v>0</v>
      </c>
      <c r="H13" s="42">
        <v>1</v>
      </c>
      <c r="I13" s="42" t="s">
        <v>636</v>
      </c>
      <c r="J13" s="42" t="s">
        <v>686</v>
      </c>
      <c r="K13" s="42" t="s">
        <v>713</v>
      </c>
      <c r="L13" s="42" t="s">
        <v>714</v>
      </c>
      <c r="M13" s="42" t="s">
        <v>683</v>
      </c>
      <c r="N13" s="42" t="s">
        <v>705</v>
      </c>
      <c r="O13" s="42" t="s">
        <v>693</v>
      </c>
    </row>
    <row r="14" spans="1:16" s="43" customFormat="1">
      <c r="A14" s="42" t="s">
        <v>575</v>
      </c>
      <c r="B14" s="42" t="s">
        <v>256</v>
      </c>
      <c r="C14" s="42">
        <v>1</v>
      </c>
      <c r="D14" s="42">
        <v>0</v>
      </c>
      <c r="E14" s="42">
        <v>1</v>
      </c>
      <c r="F14" s="42">
        <v>1</v>
      </c>
      <c r="G14" s="42">
        <v>1</v>
      </c>
      <c r="H14" s="42">
        <v>1</v>
      </c>
      <c r="I14" s="42" t="s">
        <v>575</v>
      </c>
      <c r="J14" s="42" t="s">
        <v>657</v>
      </c>
      <c r="K14" s="42" t="s">
        <v>715</v>
      </c>
      <c r="L14" s="42" t="s">
        <v>716</v>
      </c>
      <c r="M14" s="42" t="s">
        <v>683</v>
      </c>
      <c r="N14" s="42" t="s">
        <v>684</v>
      </c>
      <c r="O14" s="42" t="s">
        <v>685</v>
      </c>
    </row>
    <row r="15" spans="1:16" s="43" customFormat="1">
      <c r="A15" s="42" t="s">
        <v>575</v>
      </c>
      <c r="B15" s="42" t="s">
        <v>256</v>
      </c>
      <c r="C15" s="42">
        <v>1</v>
      </c>
      <c r="D15" s="42">
        <v>0</v>
      </c>
      <c r="E15" s="42">
        <v>1</v>
      </c>
      <c r="F15" s="42">
        <v>1</v>
      </c>
      <c r="G15" s="42">
        <v>1</v>
      </c>
      <c r="H15" s="42">
        <v>1</v>
      </c>
      <c r="I15" s="42" t="s">
        <v>575</v>
      </c>
      <c r="J15" s="42" t="s">
        <v>657</v>
      </c>
      <c r="K15" s="42" t="s">
        <v>717</v>
      </c>
      <c r="L15" s="42" t="s">
        <v>718</v>
      </c>
      <c r="M15" s="42" t="s">
        <v>683</v>
      </c>
      <c r="N15" s="42" t="s">
        <v>702</v>
      </c>
      <c r="O15" s="42" t="s">
        <v>685</v>
      </c>
    </row>
    <row r="16" spans="1:16" s="43" customFormat="1">
      <c r="A16" s="42" t="s">
        <v>575</v>
      </c>
      <c r="B16" s="42" t="s">
        <v>256</v>
      </c>
      <c r="C16" s="42">
        <v>1</v>
      </c>
      <c r="D16" s="42">
        <v>0</v>
      </c>
      <c r="E16" s="42">
        <v>1</v>
      </c>
      <c r="F16" s="42">
        <v>1</v>
      </c>
      <c r="G16" s="42">
        <v>1</v>
      </c>
      <c r="H16" s="42">
        <v>1</v>
      </c>
      <c r="I16" s="42" t="s">
        <v>657</v>
      </c>
      <c r="J16" s="42" t="s">
        <v>657</v>
      </c>
      <c r="K16" s="42" t="s">
        <v>719</v>
      </c>
      <c r="L16" s="42" t="s">
        <v>720</v>
      </c>
      <c r="M16" s="42" t="s">
        <v>683</v>
      </c>
      <c r="N16" s="42" t="s">
        <v>705</v>
      </c>
      <c r="O16" s="42" t="s">
        <v>693</v>
      </c>
    </row>
    <row r="17" spans="1:15" s="43" customFormat="1">
      <c r="A17" s="42" t="s">
        <v>575</v>
      </c>
      <c r="B17" s="42" t="s">
        <v>256</v>
      </c>
      <c r="C17" s="42">
        <v>1</v>
      </c>
      <c r="D17" s="42">
        <v>0</v>
      </c>
      <c r="E17" s="42">
        <v>1</v>
      </c>
      <c r="F17" s="42">
        <v>1</v>
      </c>
      <c r="G17" s="42">
        <v>1</v>
      </c>
      <c r="H17" s="42">
        <v>1</v>
      </c>
      <c r="I17" s="42" t="s">
        <v>575</v>
      </c>
      <c r="J17" s="42" t="s">
        <v>657</v>
      </c>
      <c r="K17" s="42" t="s">
        <v>721</v>
      </c>
      <c r="L17" s="42" t="s">
        <v>722</v>
      </c>
      <c r="M17" s="42" t="s">
        <v>683</v>
      </c>
      <c r="N17" s="42" t="s">
        <v>702</v>
      </c>
      <c r="O17" s="42" t="s">
        <v>693</v>
      </c>
    </row>
    <row r="18" spans="1:15" s="43" customFormat="1">
      <c r="A18" s="42" t="s">
        <v>561</v>
      </c>
      <c r="B18" s="42" t="s">
        <v>202</v>
      </c>
      <c r="C18" s="42">
        <v>1</v>
      </c>
      <c r="D18" s="42">
        <v>0</v>
      </c>
      <c r="E18" s="42">
        <v>1</v>
      </c>
      <c r="F18" s="42">
        <v>0</v>
      </c>
      <c r="G18" s="42">
        <v>1</v>
      </c>
      <c r="H18" s="42">
        <v>1</v>
      </c>
      <c r="I18" s="42" t="s">
        <v>561</v>
      </c>
      <c r="J18" s="42" t="s">
        <v>560</v>
      </c>
      <c r="K18" s="42" t="s">
        <v>723</v>
      </c>
      <c r="L18" s="42" t="s">
        <v>724</v>
      </c>
      <c r="M18" s="42" t="s">
        <v>683</v>
      </c>
      <c r="N18" s="42" t="s">
        <v>684</v>
      </c>
      <c r="O18" s="42" t="s">
        <v>725</v>
      </c>
    </row>
    <row r="19" spans="1:15" s="43" customFormat="1">
      <c r="A19" s="42" t="s">
        <v>561</v>
      </c>
      <c r="B19" s="42" t="s">
        <v>202</v>
      </c>
      <c r="C19" s="42">
        <v>1</v>
      </c>
      <c r="D19" s="42">
        <v>0</v>
      </c>
      <c r="E19" s="42">
        <v>1</v>
      </c>
      <c r="F19" s="42">
        <v>0</v>
      </c>
      <c r="G19" s="42">
        <v>1</v>
      </c>
      <c r="H19" s="42">
        <v>1</v>
      </c>
      <c r="I19" s="42" t="s">
        <v>561</v>
      </c>
      <c r="J19" s="42" t="s">
        <v>560</v>
      </c>
      <c r="K19" s="42" t="s">
        <v>726</v>
      </c>
      <c r="L19" s="42" t="s">
        <v>724</v>
      </c>
      <c r="M19" s="42" t="s">
        <v>683</v>
      </c>
      <c r="N19" s="42" t="s">
        <v>702</v>
      </c>
      <c r="O19" s="42" t="s">
        <v>693</v>
      </c>
    </row>
    <row r="20" spans="1:15" s="43" customFormat="1">
      <c r="A20" s="42" t="s">
        <v>561</v>
      </c>
      <c r="B20" s="42" t="s">
        <v>202</v>
      </c>
      <c r="C20" s="42">
        <v>1</v>
      </c>
      <c r="D20" s="42">
        <v>0</v>
      </c>
      <c r="E20" s="42">
        <v>1</v>
      </c>
      <c r="F20" s="42">
        <v>0</v>
      </c>
      <c r="G20" s="42">
        <v>1</v>
      </c>
      <c r="H20" s="42">
        <v>1</v>
      </c>
      <c r="I20" s="42" t="s">
        <v>561</v>
      </c>
      <c r="J20" s="42" t="s">
        <v>560</v>
      </c>
      <c r="K20" s="42" t="s">
        <v>727</v>
      </c>
      <c r="L20" s="42" t="s">
        <v>716</v>
      </c>
      <c r="M20" s="42" t="s">
        <v>683</v>
      </c>
      <c r="N20" s="42" t="s">
        <v>702</v>
      </c>
      <c r="O20" s="42" t="s">
        <v>725</v>
      </c>
    </row>
    <row r="21" spans="1:15" s="43" customFormat="1">
      <c r="A21" s="42" t="s">
        <v>561</v>
      </c>
      <c r="B21" s="42" t="s">
        <v>202</v>
      </c>
      <c r="C21" s="42">
        <v>1</v>
      </c>
      <c r="D21" s="42">
        <v>0</v>
      </c>
      <c r="E21" s="42">
        <v>1</v>
      </c>
      <c r="F21" s="42">
        <v>0</v>
      </c>
      <c r="G21" s="42">
        <v>1</v>
      </c>
      <c r="H21" s="42">
        <v>1</v>
      </c>
      <c r="I21" s="42" t="s">
        <v>561</v>
      </c>
      <c r="J21" s="42" t="s">
        <v>560</v>
      </c>
      <c r="K21" s="42" t="s">
        <v>728</v>
      </c>
      <c r="L21" s="42" t="s">
        <v>729</v>
      </c>
      <c r="M21" s="42" t="s">
        <v>683</v>
      </c>
      <c r="N21" s="42" t="s">
        <v>705</v>
      </c>
      <c r="O21" s="42" t="s">
        <v>693</v>
      </c>
    </row>
    <row r="22" spans="1:15" s="43" customFormat="1">
      <c r="A22" s="42" t="s">
        <v>626</v>
      </c>
      <c r="B22" s="42" t="s">
        <v>256</v>
      </c>
      <c r="C22" s="42">
        <v>0</v>
      </c>
      <c r="D22" s="42">
        <v>0</v>
      </c>
      <c r="E22" s="42">
        <v>1</v>
      </c>
      <c r="F22" s="42">
        <v>1</v>
      </c>
      <c r="G22" s="42">
        <v>1</v>
      </c>
      <c r="H22" s="42">
        <v>1</v>
      </c>
      <c r="I22" s="42" t="s">
        <v>518</v>
      </c>
      <c r="J22" s="42" t="s">
        <v>730</v>
      </c>
      <c r="K22" s="42" t="s">
        <v>731</v>
      </c>
      <c r="L22" s="42" t="s">
        <v>718</v>
      </c>
      <c r="M22" s="42" t="s">
        <v>683</v>
      </c>
      <c r="N22" s="42" t="s">
        <v>684</v>
      </c>
      <c r="O22" s="42" t="s">
        <v>685</v>
      </c>
    </row>
    <row r="23" spans="1:15" s="43" customFormat="1">
      <c r="A23" s="42" t="s">
        <v>626</v>
      </c>
      <c r="B23" s="42" t="s">
        <v>256</v>
      </c>
      <c r="C23" s="42">
        <v>0</v>
      </c>
      <c r="D23" s="42">
        <v>0</v>
      </c>
      <c r="E23" s="42">
        <v>1</v>
      </c>
      <c r="F23" s="42">
        <v>1</v>
      </c>
      <c r="G23" s="42">
        <v>1</v>
      </c>
      <c r="H23" s="42">
        <v>1</v>
      </c>
      <c r="I23" s="42" t="s">
        <v>626</v>
      </c>
      <c r="J23" s="42" t="s">
        <v>659</v>
      </c>
      <c r="K23" s="42" t="s">
        <v>732</v>
      </c>
      <c r="L23" s="42" t="s">
        <v>733</v>
      </c>
      <c r="M23" s="42" t="s">
        <v>683</v>
      </c>
      <c r="N23" s="42" t="s">
        <v>698</v>
      </c>
      <c r="O23" s="42" t="s">
        <v>690</v>
      </c>
    </row>
    <row r="24" spans="1:15" s="43" customFormat="1">
      <c r="A24" s="42" t="s">
        <v>626</v>
      </c>
      <c r="B24" s="42" t="s">
        <v>256</v>
      </c>
      <c r="C24" s="42">
        <v>0</v>
      </c>
      <c r="D24" s="42">
        <v>0</v>
      </c>
      <c r="E24" s="42">
        <v>1</v>
      </c>
      <c r="F24" s="42">
        <v>1</v>
      </c>
      <c r="G24" s="42">
        <v>1</v>
      </c>
      <c r="H24" s="42">
        <v>1</v>
      </c>
      <c r="I24" s="42" t="s">
        <v>626</v>
      </c>
      <c r="J24" s="42" t="s">
        <v>659</v>
      </c>
      <c r="K24" s="42" t="s">
        <v>734</v>
      </c>
      <c r="L24" s="42" t="s">
        <v>735</v>
      </c>
      <c r="M24" s="42" t="s">
        <v>683</v>
      </c>
      <c r="N24" s="42" t="s">
        <v>705</v>
      </c>
      <c r="O24" s="42" t="s">
        <v>725</v>
      </c>
    </row>
    <row r="25" spans="1:15" s="43" customFormat="1">
      <c r="A25" s="42" t="s">
        <v>626</v>
      </c>
      <c r="B25" s="42" t="s">
        <v>256</v>
      </c>
      <c r="C25" s="42">
        <v>0</v>
      </c>
      <c r="D25" s="42">
        <v>0</v>
      </c>
      <c r="E25" s="42">
        <v>1</v>
      </c>
      <c r="F25" s="42">
        <v>1</v>
      </c>
      <c r="G25" s="42">
        <v>1</v>
      </c>
      <c r="H25" s="42">
        <v>1</v>
      </c>
      <c r="I25" s="42" t="s">
        <v>638</v>
      </c>
      <c r="J25" s="42" t="s">
        <v>686</v>
      </c>
      <c r="K25" s="42" t="s">
        <v>736</v>
      </c>
      <c r="L25" s="42" t="s">
        <v>718</v>
      </c>
      <c r="M25" s="42" t="s">
        <v>683</v>
      </c>
      <c r="N25" s="42" t="s">
        <v>705</v>
      </c>
      <c r="O25" s="42" t="s">
        <v>699</v>
      </c>
    </row>
    <row r="26" spans="1:15" s="43" customFormat="1">
      <c r="A26" s="42" t="s">
        <v>656</v>
      </c>
      <c r="B26" s="42" t="s">
        <v>202</v>
      </c>
      <c r="C26" s="42">
        <v>1</v>
      </c>
      <c r="D26" s="42">
        <v>1</v>
      </c>
      <c r="E26" s="42">
        <v>0</v>
      </c>
      <c r="F26" s="42">
        <v>1</v>
      </c>
      <c r="G26" s="42">
        <v>1</v>
      </c>
      <c r="H26" s="42">
        <v>0</v>
      </c>
      <c r="I26" s="42" t="s">
        <v>656</v>
      </c>
      <c r="J26" s="42" t="s">
        <v>737</v>
      </c>
      <c r="K26" s="42" t="s">
        <v>738</v>
      </c>
      <c r="L26" s="42" t="s">
        <v>718</v>
      </c>
      <c r="M26" s="42" t="s">
        <v>683</v>
      </c>
      <c r="N26" s="42" t="s">
        <v>705</v>
      </c>
      <c r="O26" s="42" t="s">
        <v>690</v>
      </c>
    </row>
    <row r="27" spans="1:15" s="43" customFormat="1">
      <c r="A27" s="42" t="s">
        <v>656</v>
      </c>
      <c r="B27" s="42" t="s">
        <v>202</v>
      </c>
      <c r="C27" s="42">
        <v>1</v>
      </c>
      <c r="D27" s="42">
        <v>1</v>
      </c>
      <c r="E27" s="42">
        <v>0</v>
      </c>
      <c r="F27" s="42">
        <v>1</v>
      </c>
      <c r="G27" s="42">
        <v>1</v>
      </c>
      <c r="H27" s="42">
        <v>0</v>
      </c>
      <c r="I27" s="42" t="s">
        <v>656</v>
      </c>
      <c r="J27" s="42" t="s">
        <v>737</v>
      </c>
      <c r="K27" s="42" t="s">
        <v>739</v>
      </c>
      <c r="L27" s="42" t="s">
        <v>697</v>
      </c>
      <c r="M27" s="42" t="s">
        <v>683</v>
      </c>
      <c r="N27" s="42" t="s">
        <v>702</v>
      </c>
      <c r="O27" s="42" t="s">
        <v>690</v>
      </c>
    </row>
    <row r="28" spans="1:15" s="43" customFormat="1">
      <c r="A28" s="42" t="s">
        <v>656</v>
      </c>
      <c r="B28" s="42" t="s">
        <v>202</v>
      </c>
      <c r="C28" s="42">
        <v>1</v>
      </c>
      <c r="D28" s="42">
        <v>1</v>
      </c>
      <c r="E28" s="42">
        <v>0</v>
      </c>
      <c r="F28" s="42">
        <v>1</v>
      </c>
      <c r="G28" s="42">
        <v>1</v>
      </c>
      <c r="H28" s="42">
        <v>0</v>
      </c>
      <c r="I28" s="42" t="s">
        <v>527</v>
      </c>
      <c r="J28" s="42" t="s">
        <v>730</v>
      </c>
      <c r="K28" s="42" t="s">
        <v>740</v>
      </c>
      <c r="L28" s="42" t="s">
        <v>697</v>
      </c>
      <c r="M28" s="42" t="s">
        <v>683</v>
      </c>
      <c r="N28" s="42" t="s">
        <v>698</v>
      </c>
      <c r="O28" s="42" t="s">
        <v>690</v>
      </c>
    </row>
    <row r="29" spans="1:15" s="43" customFormat="1">
      <c r="A29" s="42" t="s">
        <v>656</v>
      </c>
      <c r="B29" s="42" t="s">
        <v>202</v>
      </c>
      <c r="C29" s="42">
        <v>1</v>
      </c>
      <c r="D29" s="42">
        <v>1</v>
      </c>
      <c r="E29" s="42">
        <v>0</v>
      </c>
      <c r="F29" s="42">
        <v>1</v>
      </c>
      <c r="G29" s="42">
        <v>1</v>
      </c>
      <c r="H29" s="42">
        <v>0</v>
      </c>
      <c r="I29" s="42" t="s">
        <v>527</v>
      </c>
      <c r="J29" s="42" t="s">
        <v>730</v>
      </c>
      <c r="K29" s="42" t="s">
        <v>741</v>
      </c>
      <c r="L29" s="42" t="s">
        <v>718</v>
      </c>
      <c r="M29" s="42" t="s">
        <v>683</v>
      </c>
      <c r="N29" s="42" t="s">
        <v>684</v>
      </c>
      <c r="O29" s="42" t="s">
        <v>690</v>
      </c>
    </row>
    <row r="30" spans="1:15" s="43" customFormat="1">
      <c r="A30" s="42" t="s">
        <v>569</v>
      </c>
      <c r="B30" s="42" t="s">
        <v>202</v>
      </c>
      <c r="C30" s="42">
        <v>1</v>
      </c>
      <c r="D30" s="42">
        <v>1</v>
      </c>
      <c r="E30" s="42">
        <v>0</v>
      </c>
      <c r="F30" s="42">
        <v>0</v>
      </c>
      <c r="G30" s="42">
        <v>0</v>
      </c>
      <c r="H30" s="42">
        <v>0</v>
      </c>
      <c r="I30" s="42" t="s">
        <v>569</v>
      </c>
      <c r="J30" s="42" t="s">
        <v>560</v>
      </c>
      <c r="K30" s="42" t="s">
        <v>742</v>
      </c>
      <c r="L30" s="42" t="s">
        <v>707</v>
      </c>
      <c r="M30" s="42" t="s">
        <v>683</v>
      </c>
      <c r="N30" s="42" t="s">
        <v>684</v>
      </c>
      <c r="O30" s="42" t="s">
        <v>693</v>
      </c>
    </row>
    <row r="31" spans="1:15" s="43" customFormat="1">
      <c r="A31" s="42" t="s">
        <v>569</v>
      </c>
      <c r="B31" s="42" t="s">
        <v>202</v>
      </c>
      <c r="C31" s="42">
        <v>1</v>
      </c>
      <c r="D31" s="42">
        <v>1</v>
      </c>
      <c r="E31" s="42">
        <v>0</v>
      </c>
      <c r="F31" s="42">
        <v>0</v>
      </c>
      <c r="G31" s="42">
        <v>0</v>
      </c>
      <c r="H31" s="42">
        <v>0</v>
      </c>
      <c r="I31" s="42" t="s">
        <v>569</v>
      </c>
      <c r="J31" s="42" t="s">
        <v>560</v>
      </c>
      <c r="K31" s="42" t="s">
        <v>743</v>
      </c>
      <c r="L31" s="42" t="s">
        <v>707</v>
      </c>
      <c r="M31" s="42" t="s">
        <v>683</v>
      </c>
      <c r="N31" s="42" t="s">
        <v>684</v>
      </c>
      <c r="O31" s="42" t="s">
        <v>693</v>
      </c>
    </row>
    <row r="32" spans="1:15" s="43" customFormat="1">
      <c r="A32" s="42" t="s">
        <v>569</v>
      </c>
      <c r="B32" s="42" t="s">
        <v>202</v>
      </c>
      <c r="C32" s="42">
        <v>1</v>
      </c>
      <c r="D32" s="42">
        <v>1</v>
      </c>
      <c r="E32" s="42">
        <v>0</v>
      </c>
      <c r="F32" s="42">
        <v>0</v>
      </c>
      <c r="G32" s="42">
        <v>0</v>
      </c>
      <c r="H32" s="42">
        <v>0</v>
      </c>
      <c r="I32" s="42" t="s">
        <v>569</v>
      </c>
      <c r="J32" s="42" t="s">
        <v>560</v>
      </c>
      <c r="K32" s="42" t="s">
        <v>744</v>
      </c>
      <c r="L32" s="42" t="s">
        <v>688</v>
      </c>
      <c r="M32" s="42" t="s">
        <v>683</v>
      </c>
      <c r="N32" s="42" t="s">
        <v>684</v>
      </c>
      <c r="O32" s="42" t="s">
        <v>725</v>
      </c>
    </row>
    <row r="33" spans="1:15" s="43" customFormat="1">
      <c r="A33" s="42" t="s">
        <v>569</v>
      </c>
      <c r="B33" s="42" t="s">
        <v>202</v>
      </c>
      <c r="C33" s="42">
        <v>1</v>
      </c>
      <c r="D33" s="42">
        <v>1</v>
      </c>
      <c r="E33" s="42">
        <v>0</v>
      </c>
      <c r="F33" s="42">
        <v>0</v>
      </c>
      <c r="G33" s="42">
        <v>0</v>
      </c>
      <c r="H33" s="42">
        <v>0</v>
      </c>
      <c r="I33" s="42" t="s">
        <v>569</v>
      </c>
      <c r="J33" s="42" t="s">
        <v>560</v>
      </c>
      <c r="K33" s="42" t="s">
        <v>745</v>
      </c>
      <c r="L33" s="42" t="s">
        <v>746</v>
      </c>
      <c r="M33" s="42" t="s">
        <v>683</v>
      </c>
      <c r="N33" s="42" t="s">
        <v>702</v>
      </c>
      <c r="O33" s="42" t="s">
        <v>690</v>
      </c>
    </row>
    <row r="34" spans="1:15" s="43" customFormat="1">
      <c r="A34" s="42" t="s">
        <v>592</v>
      </c>
      <c r="B34" s="42" t="s">
        <v>256</v>
      </c>
      <c r="C34" s="42">
        <v>0</v>
      </c>
      <c r="D34" s="42">
        <v>1</v>
      </c>
      <c r="E34" s="42">
        <v>0</v>
      </c>
      <c r="F34" s="42">
        <v>1</v>
      </c>
      <c r="G34" s="42">
        <v>1</v>
      </c>
      <c r="H34" s="42">
        <v>1</v>
      </c>
      <c r="I34" s="42" t="s">
        <v>592</v>
      </c>
      <c r="J34" s="42" t="s">
        <v>680</v>
      </c>
      <c r="K34" s="42" t="s">
        <v>747</v>
      </c>
      <c r="L34" s="42" t="s">
        <v>707</v>
      </c>
      <c r="M34" s="42" t="s">
        <v>683</v>
      </c>
      <c r="N34" s="42" t="s">
        <v>698</v>
      </c>
      <c r="O34" s="42" t="s">
        <v>685</v>
      </c>
    </row>
    <row r="35" spans="1:15" s="43" customFormat="1">
      <c r="A35" s="42" t="s">
        <v>592</v>
      </c>
      <c r="B35" s="42" t="s">
        <v>256</v>
      </c>
      <c r="C35" s="42">
        <v>0</v>
      </c>
      <c r="D35" s="42">
        <v>1</v>
      </c>
      <c r="E35" s="42">
        <v>0</v>
      </c>
      <c r="F35" s="42">
        <v>1</v>
      </c>
      <c r="G35" s="42">
        <v>1</v>
      </c>
      <c r="H35" s="42">
        <v>1</v>
      </c>
      <c r="I35" s="42" t="s">
        <v>636</v>
      </c>
      <c r="J35" s="42" t="s">
        <v>686</v>
      </c>
      <c r="K35" s="42" t="s">
        <v>748</v>
      </c>
      <c r="L35" s="42" t="s">
        <v>718</v>
      </c>
      <c r="M35" s="42" t="s">
        <v>683</v>
      </c>
      <c r="N35" s="42" t="s">
        <v>684</v>
      </c>
      <c r="O35" s="42" t="s">
        <v>693</v>
      </c>
    </row>
    <row r="36" spans="1:15" s="43" customFormat="1">
      <c r="A36" s="42" t="s">
        <v>592</v>
      </c>
      <c r="B36" s="42" t="s">
        <v>256</v>
      </c>
      <c r="C36" s="42">
        <v>0</v>
      </c>
      <c r="D36" s="42">
        <v>1</v>
      </c>
      <c r="E36" s="42">
        <v>0</v>
      </c>
      <c r="F36" s="42">
        <v>1</v>
      </c>
      <c r="G36" s="42">
        <v>1</v>
      </c>
      <c r="H36" s="42">
        <v>1</v>
      </c>
      <c r="I36" s="42" t="s">
        <v>592</v>
      </c>
      <c r="J36" s="42" t="s">
        <v>680</v>
      </c>
      <c r="K36" s="42" t="s">
        <v>749</v>
      </c>
      <c r="L36" s="42" t="s">
        <v>707</v>
      </c>
      <c r="M36" s="42" t="s">
        <v>683</v>
      </c>
      <c r="N36" s="42" t="s">
        <v>705</v>
      </c>
      <c r="O36" s="42" t="s">
        <v>693</v>
      </c>
    </row>
    <row r="37" spans="1:15" s="43" customFormat="1">
      <c r="A37" s="42" t="s">
        <v>592</v>
      </c>
      <c r="B37" s="42" t="s">
        <v>256</v>
      </c>
      <c r="C37" s="42">
        <v>0</v>
      </c>
      <c r="D37" s="42">
        <v>1</v>
      </c>
      <c r="E37" s="42">
        <v>0</v>
      </c>
      <c r="F37" s="42">
        <v>1</v>
      </c>
      <c r="G37" s="42">
        <v>1</v>
      </c>
      <c r="H37" s="42">
        <v>1</v>
      </c>
      <c r="I37" s="42" t="s">
        <v>592</v>
      </c>
      <c r="J37" s="42" t="s">
        <v>680</v>
      </c>
      <c r="K37" s="42" t="s">
        <v>750</v>
      </c>
      <c r="L37" s="42" t="s">
        <v>707</v>
      </c>
      <c r="M37" s="42" t="s">
        <v>683</v>
      </c>
      <c r="N37" s="42" t="s">
        <v>705</v>
      </c>
      <c r="O37" s="42" t="s">
        <v>751</v>
      </c>
    </row>
    <row r="38" spans="1:15" s="43" customFormat="1">
      <c r="A38" s="42" t="s">
        <v>526</v>
      </c>
      <c r="B38" s="42" t="s">
        <v>168</v>
      </c>
      <c r="C38" s="42">
        <v>0</v>
      </c>
      <c r="D38" s="42">
        <v>1</v>
      </c>
      <c r="E38" s="42">
        <v>0</v>
      </c>
      <c r="F38" s="42">
        <v>1</v>
      </c>
      <c r="G38" s="42">
        <v>1</v>
      </c>
      <c r="H38" s="42">
        <v>0</v>
      </c>
      <c r="I38" s="42" t="s">
        <v>527</v>
      </c>
      <c r="J38" s="42" t="s">
        <v>730</v>
      </c>
      <c r="K38" s="42" t="s">
        <v>752</v>
      </c>
      <c r="L38" s="42" t="s">
        <v>704</v>
      </c>
      <c r="M38" s="42" t="s">
        <v>683</v>
      </c>
      <c r="N38" s="42" t="s">
        <v>684</v>
      </c>
      <c r="O38" s="42" t="s">
        <v>753</v>
      </c>
    </row>
    <row r="39" spans="1:15" s="43" customFormat="1">
      <c r="A39" s="42" t="s">
        <v>526</v>
      </c>
      <c r="B39" s="42" t="s">
        <v>168</v>
      </c>
      <c r="C39" s="42">
        <v>0</v>
      </c>
      <c r="D39" s="42">
        <v>1</v>
      </c>
      <c r="E39" s="42">
        <v>0</v>
      </c>
      <c r="F39" s="42">
        <v>1</v>
      </c>
      <c r="G39" s="42">
        <v>1</v>
      </c>
      <c r="H39" s="42">
        <v>0</v>
      </c>
      <c r="I39" s="42" t="s">
        <v>526</v>
      </c>
      <c r="J39" s="42" t="s">
        <v>754</v>
      </c>
      <c r="K39" s="42" t="s">
        <v>755</v>
      </c>
      <c r="L39" s="42" t="s">
        <v>756</v>
      </c>
      <c r="M39" s="42" t="s">
        <v>683</v>
      </c>
      <c r="N39" s="42" t="s">
        <v>698</v>
      </c>
      <c r="O39" s="42" t="s">
        <v>725</v>
      </c>
    </row>
    <row r="40" spans="1:15" s="43" customFormat="1">
      <c r="A40" s="42" t="s">
        <v>526</v>
      </c>
      <c r="B40" s="42" t="s">
        <v>168</v>
      </c>
      <c r="C40" s="42">
        <v>0</v>
      </c>
      <c r="D40" s="42">
        <v>1</v>
      </c>
      <c r="E40" s="42">
        <v>0</v>
      </c>
      <c r="F40" s="42">
        <v>1</v>
      </c>
      <c r="G40" s="42">
        <v>1</v>
      </c>
      <c r="H40" s="42">
        <v>0</v>
      </c>
      <c r="I40" s="42" t="s">
        <v>526</v>
      </c>
      <c r="J40" s="42" t="s">
        <v>754</v>
      </c>
      <c r="K40" s="42" t="s">
        <v>757</v>
      </c>
      <c r="L40" s="42" t="s">
        <v>758</v>
      </c>
      <c r="M40" s="42" t="s">
        <v>683</v>
      </c>
      <c r="N40" s="42" t="s">
        <v>684</v>
      </c>
      <c r="O40" s="42" t="s">
        <v>753</v>
      </c>
    </row>
    <row r="41" spans="1:15" s="43" customFormat="1">
      <c r="A41" s="42" t="s">
        <v>526</v>
      </c>
      <c r="B41" s="42" t="s">
        <v>168</v>
      </c>
      <c r="C41" s="42">
        <v>0</v>
      </c>
      <c r="D41" s="42">
        <v>1</v>
      </c>
      <c r="E41" s="42">
        <v>0</v>
      </c>
      <c r="F41" s="42">
        <v>1</v>
      </c>
      <c r="G41" s="42">
        <v>1</v>
      </c>
      <c r="H41" s="42">
        <v>0</v>
      </c>
      <c r="I41" s="42" t="s">
        <v>526</v>
      </c>
      <c r="J41" s="42" t="s">
        <v>754</v>
      </c>
      <c r="K41" s="42" t="s">
        <v>759</v>
      </c>
      <c r="L41" s="42" t="s">
        <v>709</v>
      </c>
      <c r="M41" s="42" t="s">
        <v>683</v>
      </c>
      <c r="N41" s="42" t="s">
        <v>698</v>
      </c>
      <c r="O41" s="42" t="s">
        <v>725</v>
      </c>
    </row>
    <row r="42" spans="1:15" s="43" customFormat="1">
      <c r="A42" s="42" t="s">
        <v>638</v>
      </c>
      <c r="B42" s="42" t="s">
        <v>326</v>
      </c>
      <c r="C42" s="42">
        <v>1</v>
      </c>
      <c r="D42" s="42">
        <v>1</v>
      </c>
      <c r="E42" s="42">
        <v>0</v>
      </c>
      <c r="F42" s="42">
        <v>1</v>
      </c>
      <c r="G42" s="42">
        <v>0</v>
      </c>
      <c r="H42" s="42">
        <v>1</v>
      </c>
      <c r="I42" s="42" t="s">
        <v>638</v>
      </c>
      <c r="J42" s="42" t="s">
        <v>686</v>
      </c>
      <c r="K42" s="42" t="s">
        <v>760</v>
      </c>
      <c r="L42" s="42" t="s">
        <v>761</v>
      </c>
      <c r="M42" s="42" t="s">
        <v>683</v>
      </c>
      <c r="N42" s="42" t="s">
        <v>702</v>
      </c>
      <c r="O42" s="42" t="s">
        <v>690</v>
      </c>
    </row>
    <row r="43" spans="1:15" s="43" customFormat="1">
      <c r="A43" s="42" t="s">
        <v>638</v>
      </c>
      <c r="B43" s="42" t="s">
        <v>326</v>
      </c>
      <c r="C43" s="42">
        <v>1</v>
      </c>
      <c r="D43" s="42">
        <v>1</v>
      </c>
      <c r="E43" s="42">
        <v>0</v>
      </c>
      <c r="F43" s="42">
        <v>1</v>
      </c>
      <c r="G43" s="42">
        <v>0</v>
      </c>
      <c r="H43" s="42">
        <v>1</v>
      </c>
      <c r="I43" s="42" t="s">
        <v>638</v>
      </c>
      <c r="J43" s="42" t="s">
        <v>686</v>
      </c>
      <c r="K43" s="42" t="s">
        <v>762</v>
      </c>
      <c r="L43" s="42" t="s">
        <v>763</v>
      </c>
      <c r="M43" s="42" t="s">
        <v>683</v>
      </c>
      <c r="N43" s="42" t="s">
        <v>698</v>
      </c>
      <c r="O43" s="42" t="s">
        <v>690</v>
      </c>
    </row>
    <row r="44" spans="1:15" s="43" customFormat="1">
      <c r="A44" s="42" t="s">
        <v>638</v>
      </c>
      <c r="B44" s="42" t="s">
        <v>326</v>
      </c>
      <c r="C44" s="42">
        <v>1</v>
      </c>
      <c r="D44" s="42">
        <v>1</v>
      </c>
      <c r="E44" s="42">
        <v>0</v>
      </c>
      <c r="F44" s="42">
        <v>1</v>
      </c>
      <c r="G44" s="42">
        <v>0</v>
      </c>
      <c r="H44" s="42">
        <v>1</v>
      </c>
      <c r="I44" s="42" t="s">
        <v>603</v>
      </c>
      <c r="J44" s="42" t="s">
        <v>618</v>
      </c>
      <c r="K44" s="42" t="s">
        <v>764</v>
      </c>
      <c r="L44" s="42" t="s">
        <v>763</v>
      </c>
      <c r="M44" s="42" t="s">
        <v>683</v>
      </c>
      <c r="N44" s="42" t="s">
        <v>698</v>
      </c>
      <c r="O44" s="42" t="s">
        <v>690</v>
      </c>
    </row>
    <row r="45" spans="1:15" s="43" customFormat="1">
      <c r="A45" s="42" t="s">
        <v>638</v>
      </c>
      <c r="B45" s="42" t="s">
        <v>326</v>
      </c>
      <c r="C45" s="42">
        <v>1</v>
      </c>
      <c r="D45" s="42">
        <v>1</v>
      </c>
      <c r="E45" s="42">
        <v>0</v>
      </c>
      <c r="F45" s="42">
        <v>1</v>
      </c>
      <c r="G45" s="42">
        <v>0</v>
      </c>
      <c r="H45" s="42">
        <v>1</v>
      </c>
      <c r="I45" s="42" t="s">
        <v>645</v>
      </c>
      <c r="J45" s="42" t="s">
        <v>686</v>
      </c>
      <c r="K45" s="42" t="s">
        <v>765</v>
      </c>
      <c r="L45" s="42" t="s">
        <v>763</v>
      </c>
      <c r="M45" s="42" t="s">
        <v>683</v>
      </c>
      <c r="N45" s="42" t="s">
        <v>684</v>
      </c>
      <c r="O45" s="42" t="s">
        <v>690</v>
      </c>
    </row>
    <row r="46" spans="1:15" s="43" customFormat="1">
      <c r="A46" s="42" t="s">
        <v>523</v>
      </c>
      <c r="B46" s="42" t="s">
        <v>168</v>
      </c>
      <c r="C46" s="42">
        <v>1</v>
      </c>
      <c r="D46" s="42">
        <v>1</v>
      </c>
      <c r="E46" s="42">
        <v>0</v>
      </c>
      <c r="F46" s="42">
        <v>1</v>
      </c>
      <c r="G46" s="42">
        <v>0</v>
      </c>
      <c r="H46" s="42">
        <v>1</v>
      </c>
      <c r="I46" s="42" t="s">
        <v>523</v>
      </c>
      <c r="J46" s="42" t="s">
        <v>754</v>
      </c>
      <c r="K46" s="42" t="s">
        <v>766</v>
      </c>
      <c r="L46" s="42" t="s">
        <v>707</v>
      </c>
      <c r="M46" s="42" t="s">
        <v>683</v>
      </c>
      <c r="N46" s="42" t="s">
        <v>702</v>
      </c>
      <c r="O46" s="42" t="s">
        <v>725</v>
      </c>
    </row>
    <row r="47" spans="1:15" s="43" customFormat="1">
      <c r="A47" s="42" t="s">
        <v>523</v>
      </c>
      <c r="B47" s="42" t="s">
        <v>168</v>
      </c>
      <c r="C47" s="42">
        <v>1</v>
      </c>
      <c r="D47" s="42">
        <v>1</v>
      </c>
      <c r="E47" s="42">
        <v>0</v>
      </c>
      <c r="F47" s="42">
        <v>1</v>
      </c>
      <c r="G47" s="42">
        <v>0</v>
      </c>
      <c r="H47" s="42">
        <v>1</v>
      </c>
      <c r="I47" s="42" t="s">
        <v>523</v>
      </c>
      <c r="J47" s="42" t="s">
        <v>754</v>
      </c>
      <c r="K47" s="42" t="s">
        <v>767</v>
      </c>
      <c r="L47" s="42" t="s">
        <v>718</v>
      </c>
      <c r="M47" s="42" t="s">
        <v>683</v>
      </c>
      <c r="N47" s="42" t="s">
        <v>684</v>
      </c>
      <c r="O47" s="42" t="s">
        <v>753</v>
      </c>
    </row>
    <row r="48" spans="1:15" s="43" customFormat="1">
      <c r="A48" s="42" t="s">
        <v>523</v>
      </c>
      <c r="B48" s="42" t="s">
        <v>168</v>
      </c>
      <c r="C48" s="42">
        <v>1</v>
      </c>
      <c r="D48" s="42">
        <v>1</v>
      </c>
      <c r="E48" s="42">
        <v>0</v>
      </c>
      <c r="F48" s="42">
        <v>1</v>
      </c>
      <c r="G48" s="42">
        <v>0</v>
      </c>
      <c r="H48" s="42">
        <v>1</v>
      </c>
      <c r="I48" s="42" t="s">
        <v>523</v>
      </c>
      <c r="J48" s="42" t="s">
        <v>754</v>
      </c>
      <c r="K48" s="42" t="s">
        <v>768</v>
      </c>
      <c r="L48" s="42" t="s">
        <v>688</v>
      </c>
      <c r="M48" s="42" t="s">
        <v>683</v>
      </c>
      <c r="N48" s="42" t="s">
        <v>684</v>
      </c>
      <c r="O48" s="42" t="s">
        <v>753</v>
      </c>
    </row>
    <row r="49" spans="1:15" s="43" customFormat="1">
      <c r="A49" s="42" t="s">
        <v>523</v>
      </c>
      <c r="B49" s="42" t="s">
        <v>168</v>
      </c>
      <c r="C49" s="42">
        <v>1</v>
      </c>
      <c r="D49" s="42">
        <v>1</v>
      </c>
      <c r="E49" s="42">
        <v>0</v>
      </c>
      <c r="F49" s="42">
        <v>1</v>
      </c>
      <c r="G49" s="42">
        <v>0</v>
      </c>
      <c r="H49" s="42">
        <v>1</v>
      </c>
      <c r="I49" s="42" t="s">
        <v>645</v>
      </c>
      <c r="J49" s="42" t="s">
        <v>686</v>
      </c>
      <c r="K49" s="42" t="s">
        <v>769</v>
      </c>
      <c r="L49" s="42" t="s">
        <v>688</v>
      </c>
      <c r="M49" s="42" t="s">
        <v>683</v>
      </c>
      <c r="N49" s="43" t="s">
        <v>684</v>
      </c>
      <c r="O49" s="43" t="s">
        <v>690</v>
      </c>
    </row>
    <row r="50" spans="1:15" s="43" customFormat="1">
      <c r="A50" s="42" t="s">
        <v>544</v>
      </c>
      <c r="B50" s="42" t="s">
        <v>202</v>
      </c>
      <c r="C50" s="42">
        <v>1</v>
      </c>
      <c r="D50" s="42">
        <v>1</v>
      </c>
      <c r="E50" s="42">
        <v>0</v>
      </c>
      <c r="F50" s="42">
        <v>1</v>
      </c>
      <c r="G50" s="42">
        <v>1</v>
      </c>
      <c r="H50" s="42">
        <v>1</v>
      </c>
      <c r="I50" s="42" t="s">
        <v>770</v>
      </c>
      <c r="J50" s="42" t="s">
        <v>730</v>
      </c>
      <c r="K50" s="42" t="s">
        <v>771</v>
      </c>
      <c r="L50" s="42" t="s">
        <v>772</v>
      </c>
      <c r="M50" s="42" t="s">
        <v>683</v>
      </c>
      <c r="N50" s="42" t="s">
        <v>684</v>
      </c>
      <c r="O50" s="42" t="s">
        <v>725</v>
      </c>
    </row>
    <row r="51" spans="1:15" s="43" customFormat="1">
      <c r="A51" s="42" t="s">
        <v>544</v>
      </c>
      <c r="B51" s="42" t="s">
        <v>202</v>
      </c>
      <c r="C51" s="42">
        <v>1</v>
      </c>
      <c r="D51" s="42">
        <v>1</v>
      </c>
      <c r="E51" s="42">
        <v>0</v>
      </c>
      <c r="F51" s="42">
        <v>1</v>
      </c>
      <c r="G51" s="42">
        <v>1</v>
      </c>
      <c r="H51" s="42">
        <v>1</v>
      </c>
      <c r="I51" s="42" t="s">
        <v>544</v>
      </c>
      <c r="J51" s="42" t="s">
        <v>773</v>
      </c>
      <c r="K51" s="42" t="s">
        <v>771</v>
      </c>
      <c r="L51" s="42" t="s">
        <v>772</v>
      </c>
      <c r="M51" s="42" t="s">
        <v>683</v>
      </c>
      <c r="N51" s="42" t="s">
        <v>698</v>
      </c>
      <c r="O51" s="42" t="s">
        <v>725</v>
      </c>
    </row>
    <row r="52" spans="1:15" s="43" customFormat="1">
      <c r="A52" s="42" t="s">
        <v>544</v>
      </c>
      <c r="B52" s="42" t="s">
        <v>202</v>
      </c>
      <c r="C52" s="42">
        <v>1</v>
      </c>
      <c r="D52" s="42">
        <v>1</v>
      </c>
      <c r="E52" s="42">
        <v>0</v>
      </c>
      <c r="F52" s="42">
        <v>1</v>
      </c>
      <c r="G52" s="42">
        <v>1</v>
      </c>
      <c r="H52" s="42">
        <v>1</v>
      </c>
      <c r="I52" s="42" t="s">
        <v>544</v>
      </c>
      <c r="J52" s="42" t="s">
        <v>773</v>
      </c>
      <c r="K52" s="42" t="s">
        <v>774</v>
      </c>
      <c r="L52" s="42" t="s">
        <v>709</v>
      </c>
      <c r="M52" s="42" t="s">
        <v>683</v>
      </c>
      <c r="N52" s="42" t="s">
        <v>705</v>
      </c>
      <c r="O52" s="42" t="s">
        <v>725</v>
      </c>
    </row>
    <row r="53" spans="1:15" s="43" customFormat="1">
      <c r="A53" s="42" t="s">
        <v>544</v>
      </c>
      <c r="B53" s="42" t="s">
        <v>202</v>
      </c>
      <c r="C53" s="42">
        <v>1</v>
      </c>
      <c r="D53" s="42">
        <v>1</v>
      </c>
      <c r="E53" s="42">
        <v>0</v>
      </c>
      <c r="F53" s="42">
        <v>1</v>
      </c>
      <c r="G53" s="42">
        <v>1</v>
      </c>
      <c r="H53" s="42">
        <v>1</v>
      </c>
      <c r="I53" s="42" t="s">
        <v>605</v>
      </c>
      <c r="J53" s="42" t="s">
        <v>618</v>
      </c>
      <c r="K53" s="42" t="s">
        <v>775</v>
      </c>
      <c r="L53" s="42" t="s">
        <v>761</v>
      </c>
      <c r="M53" s="42" t="s">
        <v>683</v>
      </c>
      <c r="N53" s="42" t="s">
        <v>698</v>
      </c>
      <c r="O53" s="42" t="s">
        <v>725</v>
      </c>
    </row>
    <row r="54" spans="1:15" s="43" customFormat="1">
      <c r="A54" s="42" t="s">
        <v>543</v>
      </c>
      <c r="B54" s="42" t="s">
        <v>202</v>
      </c>
      <c r="C54" s="42">
        <v>1</v>
      </c>
      <c r="D54" s="42">
        <v>1</v>
      </c>
      <c r="E54" s="42">
        <v>0</v>
      </c>
      <c r="F54" s="42">
        <v>1</v>
      </c>
      <c r="G54" s="42">
        <v>1</v>
      </c>
      <c r="H54" s="42">
        <v>0</v>
      </c>
      <c r="I54" s="42" t="s">
        <v>543</v>
      </c>
      <c r="J54" s="42" t="s">
        <v>773</v>
      </c>
      <c r="K54" s="42" t="s">
        <v>776</v>
      </c>
      <c r="L54" s="42" t="s">
        <v>707</v>
      </c>
      <c r="M54" s="42" t="s">
        <v>683</v>
      </c>
      <c r="N54" s="42" t="s">
        <v>684</v>
      </c>
      <c r="O54" s="42" t="s">
        <v>725</v>
      </c>
    </row>
    <row r="55" spans="1:15" s="43" customFormat="1">
      <c r="A55" s="42" t="s">
        <v>543</v>
      </c>
      <c r="B55" s="42" t="s">
        <v>202</v>
      </c>
      <c r="C55" s="42">
        <v>1</v>
      </c>
      <c r="D55" s="42">
        <v>1</v>
      </c>
      <c r="E55" s="42">
        <v>0</v>
      </c>
      <c r="F55" s="42">
        <v>1</v>
      </c>
      <c r="G55" s="42">
        <v>1</v>
      </c>
      <c r="H55" s="42">
        <v>0</v>
      </c>
      <c r="I55" s="42" t="s">
        <v>543</v>
      </c>
      <c r="J55" s="42" t="s">
        <v>773</v>
      </c>
      <c r="K55" s="42" t="s">
        <v>777</v>
      </c>
      <c r="L55" s="42" t="s">
        <v>718</v>
      </c>
      <c r="M55" s="42" t="s">
        <v>683</v>
      </c>
      <c r="N55" s="42" t="s">
        <v>698</v>
      </c>
      <c r="O55" s="42" t="s">
        <v>725</v>
      </c>
    </row>
    <row r="56" spans="1:15" s="43" customFormat="1">
      <c r="A56" s="42" t="s">
        <v>543</v>
      </c>
      <c r="B56" s="42" t="s">
        <v>202</v>
      </c>
      <c r="C56" s="42">
        <v>1</v>
      </c>
      <c r="D56" s="42">
        <v>1</v>
      </c>
      <c r="E56" s="42">
        <v>0</v>
      </c>
      <c r="F56" s="42">
        <v>1</v>
      </c>
      <c r="G56" s="42">
        <v>1</v>
      </c>
      <c r="H56" s="42">
        <v>0</v>
      </c>
      <c r="I56" s="42" t="s">
        <v>543</v>
      </c>
      <c r="J56" s="42" t="s">
        <v>773</v>
      </c>
      <c r="K56" s="42" t="s">
        <v>778</v>
      </c>
      <c r="L56" s="42" t="s">
        <v>779</v>
      </c>
      <c r="M56" s="42" t="s">
        <v>683</v>
      </c>
      <c r="N56" s="42" t="s">
        <v>684</v>
      </c>
      <c r="O56" s="42" t="s">
        <v>725</v>
      </c>
    </row>
    <row r="57" spans="1:15" s="43" customFormat="1">
      <c r="A57" s="42" t="s">
        <v>543</v>
      </c>
      <c r="B57" s="42" t="s">
        <v>202</v>
      </c>
      <c r="C57" s="42">
        <v>1</v>
      </c>
      <c r="D57" s="42">
        <v>1</v>
      </c>
      <c r="E57" s="42">
        <v>0</v>
      </c>
      <c r="F57" s="42">
        <v>1</v>
      </c>
      <c r="G57" s="42">
        <v>1</v>
      </c>
      <c r="H57" s="42">
        <v>0</v>
      </c>
      <c r="I57" s="42" t="s">
        <v>543</v>
      </c>
      <c r="J57" s="42" t="s">
        <v>773</v>
      </c>
      <c r="K57" s="42" t="s">
        <v>780</v>
      </c>
      <c r="L57" s="42" t="s">
        <v>724</v>
      </c>
      <c r="M57" s="42" t="s">
        <v>683</v>
      </c>
      <c r="N57" s="42" t="s">
        <v>684</v>
      </c>
      <c r="O57" s="42" t="s">
        <v>690</v>
      </c>
    </row>
    <row r="58" spans="1:15" s="43" customFormat="1">
      <c r="A58" s="42" t="s">
        <v>572</v>
      </c>
      <c r="B58" s="42" t="s">
        <v>256</v>
      </c>
      <c r="C58" s="42">
        <v>1</v>
      </c>
      <c r="D58" s="42">
        <v>0</v>
      </c>
      <c r="E58" s="42">
        <v>0</v>
      </c>
      <c r="F58" s="42">
        <v>0</v>
      </c>
      <c r="G58" s="42">
        <v>0</v>
      </c>
      <c r="H58" s="42">
        <v>1</v>
      </c>
      <c r="I58" s="42" t="s">
        <v>572</v>
      </c>
      <c r="J58" s="42" t="s">
        <v>657</v>
      </c>
      <c r="K58" s="42" t="s">
        <v>781</v>
      </c>
      <c r="L58" s="42" t="s">
        <v>772</v>
      </c>
      <c r="M58" s="42" t="s">
        <v>683</v>
      </c>
      <c r="N58" s="42" t="s">
        <v>710</v>
      </c>
      <c r="O58" s="42" t="s">
        <v>710</v>
      </c>
    </row>
    <row r="59" spans="1:15" s="43" customFormat="1">
      <c r="A59" s="42" t="s">
        <v>572</v>
      </c>
      <c r="B59" s="42" t="s">
        <v>256</v>
      </c>
      <c r="C59" s="42">
        <v>1</v>
      </c>
      <c r="D59" s="42">
        <v>0</v>
      </c>
      <c r="E59" s="42">
        <v>0</v>
      </c>
      <c r="F59" s="42">
        <v>0</v>
      </c>
      <c r="G59" s="42">
        <v>0</v>
      </c>
      <c r="H59" s="42">
        <v>1</v>
      </c>
      <c r="I59" s="42" t="s">
        <v>572</v>
      </c>
      <c r="J59" s="42" t="s">
        <v>657</v>
      </c>
      <c r="K59" s="42" t="s">
        <v>782</v>
      </c>
      <c r="L59" s="42" t="s">
        <v>722</v>
      </c>
      <c r="M59" s="42" t="s">
        <v>683</v>
      </c>
      <c r="N59" s="42" t="s">
        <v>702</v>
      </c>
      <c r="O59" s="42" t="s">
        <v>693</v>
      </c>
    </row>
    <row r="60" spans="1:15" s="43" customFormat="1">
      <c r="A60" s="42" t="s">
        <v>572</v>
      </c>
      <c r="B60" s="42" t="s">
        <v>256</v>
      </c>
      <c r="C60" s="42">
        <v>1</v>
      </c>
      <c r="D60" s="42">
        <v>0</v>
      </c>
      <c r="E60" s="42">
        <v>0</v>
      </c>
      <c r="F60" s="42">
        <v>0</v>
      </c>
      <c r="G60" s="42">
        <v>0</v>
      </c>
      <c r="H60" s="42">
        <v>1</v>
      </c>
      <c r="I60" s="42" t="s">
        <v>572</v>
      </c>
      <c r="J60" s="42" t="s">
        <v>657</v>
      </c>
      <c r="K60" s="42" t="s">
        <v>783</v>
      </c>
      <c r="L60" s="42" t="s">
        <v>709</v>
      </c>
      <c r="M60" s="42" t="s">
        <v>683</v>
      </c>
      <c r="N60" s="42" t="s">
        <v>710</v>
      </c>
      <c r="O60" s="42" t="s">
        <v>710</v>
      </c>
    </row>
    <row r="61" spans="1:15" s="43" customFormat="1">
      <c r="A61" s="42" t="s">
        <v>572</v>
      </c>
      <c r="B61" s="42" t="s">
        <v>256</v>
      </c>
      <c r="C61" s="42">
        <v>1</v>
      </c>
      <c r="D61" s="42">
        <v>0</v>
      </c>
      <c r="E61" s="42">
        <v>0</v>
      </c>
      <c r="F61" s="42">
        <v>0</v>
      </c>
      <c r="G61" s="42">
        <v>0</v>
      </c>
      <c r="H61" s="42">
        <v>1</v>
      </c>
      <c r="I61" s="42" t="s">
        <v>572</v>
      </c>
      <c r="J61" s="42" t="s">
        <v>657</v>
      </c>
      <c r="K61" s="42" t="s">
        <v>784</v>
      </c>
      <c r="L61" s="42" t="s">
        <v>709</v>
      </c>
      <c r="M61" s="42" t="s">
        <v>683</v>
      </c>
      <c r="N61" s="42" t="s">
        <v>698</v>
      </c>
      <c r="O61" s="42" t="s">
        <v>725</v>
      </c>
    </row>
    <row r="62" spans="1:15" s="43" customFormat="1">
      <c r="A62" s="42" t="s">
        <v>573</v>
      </c>
      <c r="B62" s="42" t="s">
        <v>256</v>
      </c>
      <c r="C62" s="42">
        <v>1</v>
      </c>
      <c r="D62" s="42">
        <v>0</v>
      </c>
      <c r="E62" s="42">
        <v>0</v>
      </c>
      <c r="F62" s="42">
        <v>0</v>
      </c>
      <c r="G62" s="42">
        <v>0</v>
      </c>
      <c r="H62" s="42">
        <v>1</v>
      </c>
      <c r="I62" s="42" t="s">
        <v>573</v>
      </c>
      <c r="J62" s="42" t="s">
        <v>657</v>
      </c>
      <c r="K62" s="42" t="s">
        <v>785</v>
      </c>
      <c r="L62" s="42" t="s">
        <v>761</v>
      </c>
      <c r="M62" s="42" t="s">
        <v>683</v>
      </c>
      <c r="N62" s="42" t="s">
        <v>705</v>
      </c>
      <c r="O62" s="42" t="s">
        <v>693</v>
      </c>
    </row>
    <row r="63" spans="1:15" s="43" customFormat="1">
      <c r="A63" s="42" t="s">
        <v>573</v>
      </c>
      <c r="B63" s="42" t="s">
        <v>256</v>
      </c>
      <c r="C63" s="42">
        <v>1</v>
      </c>
      <c r="D63" s="42">
        <v>0</v>
      </c>
      <c r="E63" s="42">
        <v>0</v>
      </c>
      <c r="F63" s="42">
        <v>0</v>
      </c>
      <c r="G63" s="42">
        <v>0</v>
      </c>
      <c r="H63" s="42">
        <v>1</v>
      </c>
      <c r="I63" s="42" t="s">
        <v>573</v>
      </c>
      <c r="J63" s="42" t="s">
        <v>657</v>
      </c>
      <c r="K63" s="42" t="s">
        <v>786</v>
      </c>
      <c r="L63" s="42" t="s">
        <v>712</v>
      </c>
      <c r="M63" s="42" t="s">
        <v>683</v>
      </c>
      <c r="N63" s="42" t="s">
        <v>787</v>
      </c>
      <c r="O63" s="42" t="s">
        <v>725</v>
      </c>
    </row>
    <row r="64" spans="1:15" s="43" customFormat="1">
      <c r="A64" s="42" t="s">
        <v>573</v>
      </c>
      <c r="B64" s="42" t="s">
        <v>256</v>
      </c>
      <c r="C64" s="42">
        <v>1</v>
      </c>
      <c r="D64" s="42">
        <v>0</v>
      </c>
      <c r="E64" s="42">
        <v>0</v>
      </c>
      <c r="F64" s="42">
        <v>0</v>
      </c>
      <c r="G64" s="42">
        <v>0</v>
      </c>
      <c r="H64" s="42">
        <v>1</v>
      </c>
      <c r="I64" s="42" t="s">
        <v>573</v>
      </c>
      <c r="J64" s="42" t="s">
        <v>657</v>
      </c>
      <c r="K64" s="42" t="s">
        <v>788</v>
      </c>
      <c r="L64" s="42" t="s">
        <v>712</v>
      </c>
      <c r="M64" s="42" t="s">
        <v>683</v>
      </c>
      <c r="N64" s="42" t="s">
        <v>702</v>
      </c>
      <c r="O64" s="42" t="s">
        <v>693</v>
      </c>
    </row>
    <row r="65" spans="1:15" s="43" customFormat="1">
      <c r="A65" s="42" t="s">
        <v>573</v>
      </c>
      <c r="B65" s="42" t="s">
        <v>256</v>
      </c>
      <c r="C65" s="42">
        <v>1</v>
      </c>
      <c r="D65" s="42">
        <v>0</v>
      </c>
      <c r="E65" s="42">
        <v>0</v>
      </c>
      <c r="F65" s="42">
        <v>0</v>
      </c>
      <c r="G65" s="42">
        <v>0</v>
      </c>
      <c r="H65" s="42">
        <v>1</v>
      </c>
      <c r="I65" s="42" t="s">
        <v>573</v>
      </c>
      <c r="J65" s="42" t="s">
        <v>657</v>
      </c>
      <c r="K65" s="42" t="s">
        <v>789</v>
      </c>
      <c r="L65" s="42" t="s">
        <v>712</v>
      </c>
      <c r="M65" s="42" t="s">
        <v>683</v>
      </c>
      <c r="N65" s="42" t="s">
        <v>702</v>
      </c>
      <c r="O65" s="42" t="s">
        <v>693</v>
      </c>
    </row>
    <row r="66" spans="1:15" s="43" customFormat="1">
      <c r="A66" s="42" t="s">
        <v>566</v>
      </c>
      <c r="B66" s="42" t="s">
        <v>202</v>
      </c>
      <c r="C66" s="42">
        <v>0</v>
      </c>
      <c r="D66" s="42">
        <v>1</v>
      </c>
      <c r="E66" s="42">
        <v>0</v>
      </c>
      <c r="F66" s="42">
        <v>0</v>
      </c>
      <c r="G66" s="42">
        <v>1</v>
      </c>
      <c r="H66" s="42">
        <v>1</v>
      </c>
      <c r="I66" s="42" t="s">
        <v>628</v>
      </c>
      <c r="J66" s="42" t="s">
        <v>659</v>
      </c>
      <c r="K66" s="42" t="s">
        <v>790</v>
      </c>
      <c r="L66" s="42" t="s">
        <v>704</v>
      </c>
      <c r="M66" s="42" t="s">
        <v>683</v>
      </c>
      <c r="N66" s="42" t="s">
        <v>698</v>
      </c>
      <c r="O66" s="42" t="s">
        <v>690</v>
      </c>
    </row>
    <row r="67" spans="1:15" s="43" customFormat="1">
      <c r="A67" s="42" t="s">
        <v>566</v>
      </c>
      <c r="B67" s="42" t="s">
        <v>202</v>
      </c>
      <c r="C67" s="42">
        <v>0</v>
      </c>
      <c r="D67" s="42">
        <v>1</v>
      </c>
      <c r="E67" s="42">
        <v>0</v>
      </c>
      <c r="F67" s="42">
        <v>0</v>
      </c>
      <c r="G67" s="42">
        <v>1</v>
      </c>
      <c r="H67" s="42">
        <v>1</v>
      </c>
      <c r="I67" s="42" t="s">
        <v>566</v>
      </c>
      <c r="J67" s="42" t="s">
        <v>560</v>
      </c>
      <c r="K67" s="42" t="s">
        <v>791</v>
      </c>
      <c r="L67" s="42" t="s">
        <v>718</v>
      </c>
      <c r="M67" s="42" t="s">
        <v>683</v>
      </c>
      <c r="N67" s="42" t="s">
        <v>698</v>
      </c>
      <c r="O67" s="42" t="s">
        <v>725</v>
      </c>
    </row>
    <row r="68" spans="1:15" s="43" customFormat="1">
      <c r="A68" s="42" t="s">
        <v>566</v>
      </c>
      <c r="B68" s="42" t="s">
        <v>202</v>
      </c>
      <c r="C68" s="42">
        <v>0</v>
      </c>
      <c r="D68" s="42">
        <v>1</v>
      </c>
      <c r="E68" s="42">
        <v>0</v>
      </c>
      <c r="F68" s="42">
        <v>0</v>
      </c>
      <c r="G68" s="42">
        <v>1</v>
      </c>
      <c r="H68" s="42">
        <v>1</v>
      </c>
      <c r="I68" s="42" t="s">
        <v>566</v>
      </c>
      <c r="J68" s="42" t="s">
        <v>560</v>
      </c>
      <c r="K68" s="42" t="s">
        <v>792</v>
      </c>
      <c r="L68" s="42" t="s">
        <v>761</v>
      </c>
      <c r="M68" s="42" t="s">
        <v>683</v>
      </c>
      <c r="N68" s="42" t="s">
        <v>698</v>
      </c>
      <c r="O68" s="42" t="s">
        <v>690</v>
      </c>
    </row>
    <row r="69" spans="1:15" s="43" customFormat="1">
      <c r="A69" s="42" t="s">
        <v>566</v>
      </c>
      <c r="B69" s="42" t="s">
        <v>202</v>
      </c>
      <c r="C69" s="42">
        <v>0</v>
      </c>
      <c r="D69" s="42">
        <v>1</v>
      </c>
      <c r="E69" s="42">
        <v>0</v>
      </c>
      <c r="F69" s="42">
        <v>0</v>
      </c>
      <c r="G69" s="42">
        <v>1</v>
      </c>
      <c r="H69" s="42">
        <v>1</v>
      </c>
      <c r="I69" s="42" t="s">
        <v>566</v>
      </c>
      <c r="J69" s="42" t="s">
        <v>560</v>
      </c>
      <c r="K69" s="42" t="s">
        <v>793</v>
      </c>
      <c r="L69" s="42" t="s">
        <v>794</v>
      </c>
      <c r="M69" s="42" t="s">
        <v>683</v>
      </c>
      <c r="N69" s="42" t="s">
        <v>710</v>
      </c>
      <c r="O69" s="42" t="s">
        <v>710</v>
      </c>
    </row>
    <row r="70" spans="1:15" s="43" customFormat="1">
      <c r="A70" s="42" t="s">
        <v>537</v>
      </c>
      <c r="B70" s="42" t="s">
        <v>202</v>
      </c>
      <c r="C70" s="42">
        <v>1</v>
      </c>
      <c r="D70" s="42">
        <v>1</v>
      </c>
      <c r="E70" s="42">
        <v>1</v>
      </c>
      <c r="F70" s="42">
        <v>1</v>
      </c>
      <c r="G70" s="42">
        <v>0</v>
      </c>
      <c r="H70" s="42">
        <v>1</v>
      </c>
      <c r="I70" s="42" t="s">
        <v>544</v>
      </c>
      <c r="J70" s="42" t="s">
        <v>773</v>
      </c>
      <c r="K70" s="42" t="s">
        <v>795</v>
      </c>
      <c r="L70" s="42" t="s">
        <v>695</v>
      </c>
      <c r="M70" s="42" t="s">
        <v>683</v>
      </c>
      <c r="N70" s="42" t="s">
        <v>698</v>
      </c>
      <c r="O70" s="42" t="s">
        <v>725</v>
      </c>
    </row>
    <row r="71" spans="1:15" s="43" customFormat="1">
      <c r="A71" s="42" t="s">
        <v>537</v>
      </c>
      <c r="B71" s="42" t="s">
        <v>202</v>
      </c>
      <c r="C71" s="42">
        <v>1</v>
      </c>
      <c r="D71" s="42">
        <v>1</v>
      </c>
      <c r="E71" s="42">
        <v>1</v>
      </c>
      <c r="F71" s="42">
        <v>1</v>
      </c>
      <c r="G71" s="42">
        <v>0</v>
      </c>
      <c r="H71" s="42">
        <v>1</v>
      </c>
      <c r="I71" s="42" t="s">
        <v>546</v>
      </c>
      <c r="J71" s="42" t="s">
        <v>773</v>
      </c>
      <c r="K71" s="42" t="s">
        <v>796</v>
      </c>
      <c r="L71" s="42" t="s">
        <v>797</v>
      </c>
      <c r="M71" s="42" t="s">
        <v>683</v>
      </c>
      <c r="N71" s="42" t="s">
        <v>698</v>
      </c>
      <c r="O71" s="42" t="s">
        <v>725</v>
      </c>
    </row>
    <row r="72" spans="1:15" s="43" customFormat="1">
      <c r="A72" s="42" t="s">
        <v>537</v>
      </c>
      <c r="B72" s="42" t="s">
        <v>202</v>
      </c>
      <c r="C72" s="42">
        <v>1</v>
      </c>
      <c r="D72" s="42">
        <v>1</v>
      </c>
      <c r="E72" s="42">
        <v>1</v>
      </c>
      <c r="F72" s="42">
        <v>1</v>
      </c>
      <c r="G72" s="42">
        <v>0</v>
      </c>
      <c r="H72" s="42">
        <v>1</v>
      </c>
      <c r="I72" s="42" t="s">
        <v>537</v>
      </c>
      <c r="J72" s="42" t="s">
        <v>773</v>
      </c>
      <c r="K72" s="42" t="s">
        <v>798</v>
      </c>
      <c r="L72" s="42" t="s">
        <v>688</v>
      </c>
      <c r="M72" s="42" t="s">
        <v>683</v>
      </c>
      <c r="N72" s="42" t="s">
        <v>698</v>
      </c>
      <c r="O72" s="42" t="s">
        <v>725</v>
      </c>
    </row>
    <row r="73" spans="1:15" s="43" customFormat="1">
      <c r="A73" s="42" t="s">
        <v>537</v>
      </c>
      <c r="B73" s="42" t="s">
        <v>202</v>
      </c>
      <c r="C73" s="42">
        <v>1</v>
      </c>
      <c r="D73" s="42">
        <v>1</v>
      </c>
      <c r="E73" s="42">
        <v>1</v>
      </c>
      <c r="F73" s="42">
        <v>1</v>
      </c>
      <c r="G73" s="42">
        <v>0</v>
      </c>
      <c r="H73" s="42">
        <v>1</v>
      </c>
      <c r="I73" s="42" t="s">
        <v>537</v>
      </c>
      <c r="J73" s="42" t="s">
        <v>773</v>
      </c>
      <c r="K73" s="42" t="s">
        <v>799</v>
      </c>
      <c r="L73" s="42" t="s">
        <v>746</v>
      </c>
      <c r="M73" s="42" t="s">
        <v>683</v>
      </c>
      <c r="N73" s="42" t="s">
        <v>710</v>
      </c>
      <c r="O73" s="42" t="s">
        <v>710</v>
      </c>
    </row>
    <row r="74" spans="1:15" s="43" customFormat="1">
      <c r="A74" s="42" t="s">
        <v>535</v>
      </c>
      <c r="B74" s="42" t="s">
        <v>202</v>
      </c>
      <c r="C74" s="42">
        <v>1</v>
      </c>
      <c r="D74" s="42">
        <v>1</v>
      </c>
      <c r="E74" s="42">
        <v>0</v>
      </c>
      <c r="F74" s="42">
        <v>0</v>
      </c>
      <c r="G74" s="42">
        <v>1</v>
      </c>
      <c r="H74" s="42">
        <v>0</v>
      </c>
      <c r="I74" s="42" t="s">
        <v>535</v>
      </c>
      <c r="J74" s="42" t="s">
        <v>737</v>
      </c>
      <c r="K74" s="42" t="s">
        <v>800</v>
      </c>
      <c r="L74" s="42" t="s">
        <v>718</v>
      </c>
      <c r="M74" s="42" t="s">
        <v>683</v>
      </c>
      <c r="N74" s="42" t="s">
        <v>698</v>
      </c>
      <c r="O74" s="42" t="s">
        <v>725</v>
      </c>
    </row>
    <row r="75" spans="1:15" s="43" customFormat="1">
      <c r="A75" s="42" t="s">
        <v>535</v>
      </c>
      <c r="B75" s="42" t="s">
        <v>202</v>
      </c>
      <c r="C75" s="42">
        <v>1</v>
      </c>
      <c r="D75" s="42">
        <v>1</v>
      </c>
      <c r="E75" s="42">
        <v>0</v>
      </c>
      <c r="F75" s="42">
        <v>0</v>
      </c>
      <c r="G75" s="42">
        <v>1</v>
      </c>
      <c r="H75" s="42">
        <v>0</v>
      </c>
      <c r="I75" s="42" t="s">
        <v>535</v>
      </c>
      <c r="J75" s="42" t="s">
        <v>737</v>
      </c>
      <c r="K75" s="42" t="s">
        <v>801</v>
      </c>
      <c r="L75" s="42" t="s">
        <v>707</v>
      </c>
      <c r="M75" s="42" t="s">
        <v>683</v>
      </c>
      <c r="N75" s="42" t="s">
        <v>684</v>
      </c>
      <c r="O75" s="42" t="s">
        <v>725</v>
      </c>
    </row>
    <row r="76" spans="1:15" s="43" customFormat="1">
      <c r="A76" s="42" t="s">
        <v>535</v>
      </c>
      <c r="B76" s="42" t="s">
        <v>202</v>
      </c>
      <c r="C76" s="42">
        <v>1</v>
      </c>
      <c r="D76" s="42">
        <v>1</v>
      </c>
      <c r="E76" s="42">
        <v>0</v>
      </c>
      <c r="F76" s="42">
        <v>0</v>
      </c>
      <c r="G76" s="42">
        <v>1</v>
      </c>
      <c r="H76" s="42">
        <v>0</v>
      </c>
      <c r="I76" s="42" t="s">
        <v>535</v>
      </c>
      <c r="J76" s="42" t="s">
        <v>737</v>
      </c>
      <c r="K76" s="42" t="s">
        <v>802</v>
      </c>
      <c r="L76" s="42" t="s">
        <v>735</v>
      </c>
      <c r="M76" s="42" t="s">
        <v>683</v>
      </c>
      <c r="N76" s="42" t="s">
        <v>684</v>
      </c>
      <c r="O76" s="42" t="s">
        <v>725</v>
      </c>
    </row>
    <row r="77" spans="1:15" s="43" customFormat="1">
      <c r="A77" s="42" t="s">
        <v>535</v>
      </c>
      <c r="B77" s="42" t="s">
        <v>202</v>
      </c>
      <c r="C77" s="42">
        <v>1</v>
      </c>
      <c r="D77" s="42">
        <v>1</v>
      </c>
      <c r="E77" s="42">
        <v>0</v>
      </c>
      <c r="F77" s="42">
        <v>0</v>
      </c>
      <c r="G77" s="42">
        <v>1</v>
      </c>
      <c r="H77" s="42">
        <v>0</v>
      </c>
      <c r="I77" s="42" t="s">
        <v>535</v>
      </c>
      <c r="J77" s="42" t="s">
        <v>737</v>
      </c>
      <c r="K77" s="42" t="s">
        <v>803</v>
      </c>
      <c r="L77" s="42" t="s">
        <v>707</v>
      </c>
      <c r="M77" s="42" t="s">
        <v>683</v>
      </c>
      <c r="N77" s="43" t="s">
        <v>698</v>
      </c>
      <c r="O77" s="43" t="s">
        <v>725</v>
      </c>
    </row>
    <row r="78" spans="1:15" s="43" customFormat="1">
      <c r="A78" s="42" t="s">
        <v>562</v>
      </c>
      <c r="B78" s="42" t="s">
        <v>202</v>
      </c>
      <c r="C78" s="42">
        <v>0</v>
      </c>
      <c r="D78" s="42">
        <v>0</v>
      </c>
      <c r="E78" s="42">
        <v>0</v>
      </c>
      <c r="F78" s="42">
        <v>0</v>
      </c>
      <c r="G78" s="42">
        <v>0</v>
      </c>
      <c r="H78" s="42">
        <v>0</v>
      </c>
      <c r="I78" s="42" t="s">
        <v>562</v>
      </c>
      <c r="J78" s="42" t="s">
        <v>560</v>
      </c>
      <c r="K78" s="42" t="s">
        <v>804</v>
      </c>
      <c r="L78" s="42" t="s">
        <v>718</v>
      </c>
      <c r="M78" s="42" t="s">
        <v>683</v>
      </c>
      <c r="N78" s="42" t="s">
        <v>684</v>
      </c>
      <c r="O78" s="42" t="s">
        <v>690</v>
      </c>
    </row>
    <row r="79" spans="1:15" s="43" customFormat="1">
      <c r="A79" s="42" t="s">
        <v>562</v>
      </c>
      <c r="B79" s="42" t="s">
        <v>202</v>
      </c>
      <c r="C79" s="42">
        <v>0</v>
      </c>
      <c r="D79" s="42">
        <v>0</v>
      </c>
      <c r="E79" s="42">
        <v>0</v>
      </c>
      <c r="F79" s="42">
        <v>0</v>
      </c>
      <c r="G79" s="42">
        <v>0</v>
      </c>
      <c r="H79" s="42">
        <v>0</v>
      </c>
      <c r="I79" s="42" t="s">
        <v>562</v>
      </c>
      <c r="J79" s="42" t="s">
        <v>560</v>
      </c>
      <c r="K79" s="42" t="s">
        <v>805</v>
      </c>
      <c r="L79" s="42" t="s">
        <v>735</v>
      </c>
      <c r="M79" s="42" t="s">
        <v>683</v>
      </c>
      <c r="N79" s="42" t="s">
        <v>684</v>
      </c>
      <c r="O79" s="42" t="s">
        <v>693</v>
      </c>
    </row>
    <row r="80" spans="1:15" s="43" customFormat="1">
      <c r="A80" s="42" t="s">
        <v>562</v>
      </c>
      <c r="B80" s="42" t="s">
        <v>202</v>
      </c>
      <c r="C80" s="42">
        <v>0</v>
      </c>
      <c r="D80" s="42">
        <v>0</v>
      </c>
      <c r="E80" s="42">
        <v>0</v>
      </c>
      <c r="F80" s="42">
        <v>0</v>
      </c>
      <c r="G80" s="42">
        <v>0</v>
      </c>
      <c r="H80" s="42">
        <v>0</v>
      </c>
      <c r="I80" s="42" t="s">
        <v>630</v>
      </c>
      <c r="J80" s="42" t="s">
        <v>659</v>
      </c>
      <c r="K80" s="42" t="s">
        <v>806</v>
      </c>
      <c r="L80" s="42" t="s">
        <v>807</v>
      </c>
      <c r="M80" s="42" t="s">
        <v>683</v>
      </c>
      <c r="N80" s="42" t="s">
        <v>684</v>
      </c>
      <c r="O80" s="42" t="s">
        <v>690</v>
      </c>
    </row>
    <row r="81" spans="1:15" s="43" customFormat="1">
      <c r="A81" s="42" t="s">
        <v>562</v>
      </c>
      <c r="B81" s="42" t="s">
        <v>202</v>
      </c>
      <c r="C81" s="42">
        <v>0</v>
      </c>
      <c r="D81" s="42">
        <v>0</v>
      </c>
      <c r="E81" s="42">
        <v>0</v>
      </c>
      <c r="F81" s="42">
        <v>0</v>
      </c>
      <c r="G81" s="42">
        <v>0</v>
      </c>
      <c r="H81" s="42">
        <v>0</v>
      </c>
      <c r="I81" s="42" t="s">
        <v>562</v>
      </c>
      <c r="J81" s="42" t="s">
        <v>560</v>
      </c>
      <c r="K81" s="42" t="s">
        <v>808</v>
      </c>
      <c r="L81" s="42" t="s">
        <v>718</v>
      </c>
      <c r="M81" s="42" t="s">
        <v>683</v>
      </c>
      <c r="N81" s="42" t="s">
        <v>809</v>
      </c>
      <c r="O81" s="42" t="s">
        <v>690</v>
      </c>
    </row>
    <row r="82" spans="1:15" s="43" customFormat="1">
      <c r="A82" s="42" t="s">
        <v>603</v>
      </c>
      <c r="B82" s="42" t="s">
        <v>256</v>
      </c>
      <c r="C82" s="42">
        <v>1</v>
      </c>
      <c r="D82" s="42">
        <v>0</v>
      </c>
      <c r="E82" s="42">
        <v>0</v>
      </c>
      <c r="F82" s="42">
        <v>1</v>
      </c>
      <c r="G82" s="42">
        <v>1</v>
      </c>
      <c r="H82" s="42">
        <v>1</v>
      </c>
      <c r="I82" s="42" t="s">
        <v>603</v>
      </c>
      <c r="J82" s="42" t="s">
        <v>618</v>
      </c>
      <c r="K82" s="42" t="s">
        <v>810</v>
      </c>
      <c r="L82" s="42" t="s">
        <v>763</v>
      </c>
      <c r="M82" s="42" t="s">
        <v>683</v>
      </c>
      <c r="N82" s="42" t="s">
        <v>702</v>
      </c>
      <c r="O82" s="42" t="s">
        <v>725</v>
      </c>
    </row>
    <row r="83" spans="1:15" s="43" customFormat="1">
      <c r="A83" s="42" t="s">
        <v>603</v>
      </c>
      <c r="B83" s="42" t="s">
        <v>256</v>
      </c>
      <c r="C83" s="42">
        <v>1</v>
      </c>
      <c r="D83" s="42">
        <v>0</v>
      </c>
      <c r="E83" s="42">
        <v>0</v>
      </c>
      <c r="F83" s="42">
        <v>1</v>
      </c>
      <c r="G83" s="42">
        <v>1</v>
      </c>
      <c r="H83" s="42">
        <v>1</v>
      </c>
      <c r="I83" s="42" t="s">
        <v>603</v>
      </c>
      <c r="J83" s="42" t="s">
        <v>618</v>
      </c>
      <c r="K83" s="42" t="s">
        <v>811</v>
      </c>
      <c r="L83" s="42" t="s">
        <v>718</v>
      </c>
      <c r="M83" s="42" t="s">
        <v>683</v>
      </c>
      <c r="N83" s="42" t="s">
        <v>698</v>
      </c>
      <c r="O83" s="42" t="s">
        <v>690</v>
      </c>
    </row>
    <row r="84" spans="1:15" s="43" customFormat="1">
      <c r="A84" s="42" t="s">
        <v>603</v>
      </c>
      <c r="B84" s="42" t="s">
        <v>256</v>
      </c>
      <c r="C84" s="42">
        <v>1</v>
      </c>
      <c r="D84" s="42">
        <v>0</v>
      </c>
      <c r="E84" s="42">
        <v>0</v>
      </c>
      <c r="F84" s="42">
        <v>1</v>
      </c>
      <c r="G84" s="42">
        <v>1</v>
      </c>
      <c r="H84" s="42">
        <v>1</v>
      </c>
      <c r="I84" s="42" t="s">
        <v>603</v>
      </c>
      <c r="J84" s="42" t="s">
        <v>618</v>
      </c>
      <c r="K84" s="42" t="s">
        <v>812</v>
      </c>
      <c r="L84" s="42" t="s">
        <v>813</v>
      </c>
      <c r="M84" s="42" t="s">
        <v>683</v>
      </c>
      <c r="N84" s="42" t="s">
        <v>698</v>
      </c>
      <c r="O84" s="42" t="s">
        <v>725</v>
      </c>
    </row>
    <row r="85" spans="1:15" s="43" customFormat="1">
      <c r="A85" s="42" t="s">
        <v>603</v>
      </c>
      <c r="B85" s="42" t="s">
        <v>256</v>
      </c>
      <c r="C85" s="42">
        <v>1</v>
      </c>
      <c r="D85" s="42">
        <v>0</v>
      </c>
      <c r="E85" s="42">
        <v>0</v>
      </c>
      <c r="F85" s="42">
        <v>1</v>
      </c>
      <c r="G85" s="42">
        <v>1</v>
      </c>
      <c r="H85" s="42">
        <v>1</v>
      </c>
      <c r="I85" s="42" t="s">
        <v>603</v>
      </c>
      <c r="J85" s="42" t="s">
        <v>618</v>
      </c>
      <c r="K85" s="42" t="s">
        <v>814</v>
      </c>
      <c r="L85" s="42" t="s">
        <v>682</v>
      </c>
      <c r="M85" s="42" t="s">
        <v>683</v>
      </c>
      <c r="N85" s="42" t="s">
        <v>698</v>
      </c>
      <c r="O85" s="42" t="s">
        <v>725</v>
      </c>
    </row>
    <row r="86" spans="1:15" s="43" customFormat="1">
      <c r="A86" s="42" t="s">
        <v>168</v>
      </c>
      <c r="B86" s="42" t="s">
        <v>168</v>
      </c>
      <c r="C86" s="42">
        <v>1</v>
      </c>
      <c r="D86" s="42">
        <v>0</v>
      </c>
      <c r="E86" s="42">
        <v>0</v>
      </c>
      <c r="F86" s="42">
        <v>1</v>
      </c>
      <c r="G86" s="42">
        <v>1</v>
      </c>
      <c r="H86" s="42">
        <v>1</v>
      </c>
      <c r="I86" s="42" t="s">
        <v>168</v>
      </c>
      <c r="J86" s="42" t="s">
        <v>502</v>
      </c>
      <c r="K86" s="42" t="s">
        <v>815</v>
      </c>
      <c r="L86" s="42" t="s">
        <v>816</v>
      </c>
      <c r="M86" s="42" t="s">
        <v>683</v>
      </c>
      <c r="N86" s="42" t="s">
        <v>710</v>
      </c>
      <c r="O86" s="42" t="s">
        <v>710</v>
      </c>
    </row>
    <row r="87" spans="1:15" s="43" customFormat="1">
      <c r="A87" s="42" t="s">
        <v>168</v>
      </c>
      <c r="B87" s="42" t="s">
        <v>168</v>
      </c>
      <c r="C87" s="42">
        <v>1</v>
      </c>
      <c r="D87" s="42">
        <v>0</v>
      </c>
      <c r="E87" s="42">
        <v>0</v>
      </c>
      <c r="F87" s="42">
        <v>1</v>
      </c>
      <c r="G87" s="42">
        <v>1</v>
      </c>
      <c r="H87" s="42">
        <v>1</v>
      </c>
      <c r="I87" s="42" t="s">
        <v>645</v>
      </c>
      <c r="J87" s="42" t="s">
        <v>686</v>
      </c>
      <c r="K87" s="42" t="s">
        <v>817</v>
      </c>
      <c r="L87" s="42" t="s">
        <v>818</v>
      </c>
      <c r="M87" s="42" t="s">
        <v>683</v>
      </c>
      <c r="N87" s="42" t="s">
        <v>710</v>
      </c>
      <c r="O87" s="42" t="s">
        <v>710</v>
      </c>
    </row>
    <row r="88" spans="1:15" s="43" customFormat="1">
      <c r="A88" s="42" t="s">
        <v>168</v>
      </c>
      <c r="B88" s="42" t="s">
        <v>168</v>
      </c>
      <c r="C88" s="42">
        <v>1</v>
      </c>
      <c r="D88" s="42">
        <v>0</v>
      </c>
      <c r="E88" s="42">
        <v>0</v>
      </c>
      <c r="F88" s="42">
        <v>1</v>
      </c>
      <c r="G88" s="42">
        <v>1</v>
      </c>
      <c r="H88" s="42">
        <v>1</v>
      </c>
      <c r="I88" s="42" t="s">
        <v>168</v>
      </c>
      <c r="J88" s="42" t="s">
        <v>502</v>
      </c>
      <c r="K88" s="42" t="s">
        <v>819</v>
      </c>
      <c r="L88" s="42" t="s">
        <v>724</v>
      </c>
      <c r="M88" s="42" t="s">
        <v>683</v>
      </c>
      <c r="N88" s="42" t="s">
        <v>710</v>
      </c>
      <c r="O88" s="42" t="s">
        <v>710</v>
      </c>
    </row>
    <row r="89" spans="1:15" s="43" customFormat="1">
      <c r="A89" s="42" t="s">
        <v>168</v>
      </c>
      <c r="B89" s="42" t="s">
        <v>168</v>
      </c>
      <c r="C89" s="42">
        <v>1</v>
      </c>
      <c r="D89" s="42">
        <v>0</v>
      </c>
      <c r="E89" s="42">
        <v>0</v>
      </c>
      <c r="F89" s="42">
        <v>1</v>
      </c>
      <c r="G89" s="42">
        <v>1</v>
      </c>
      <c r="H89" s="42">
        <v>1</v>
      </c>
      <c r="I89" s="42" t="s">
        <v>168</v>
      </c>
      <c r="J89" s="42" t="s">
        <v>502</v>
      </c>
      <c r="K89" s="42" t="s">
        <v>820</v>
      </c>
      <c r="L89" s="42" t="s">
        <v>720</v>
      </c>
      <c r="M89" s="42" t="s">
        <v>683</v>
      </c>
      <c r="N89" s="42" t="s">
        <v>702</v>
      </c>
      <c r="O89" s="42" t="s">
        <v>693</v>
      </c>
    </row>
    <row r="90" spans="1:15" s="43" customFormat="1">
      <c r="A90" s="42" t="s">
        <v>628</v>
      </c>
      <c r="B90" s="42" t="s">
        <v>256</v>
      </c>
      <c r="C90" s="42">
        <v>0</v>
      </c>
      <c r="D90" s="42">
        <v>0</v>
      </c>
      <c r="E90" s="42">
        <v>1</v>
      </c>
      <c r="F90" s="42">
        <v>1</v>
      </c>
      <c r="G90" s="42">
        <v>1</v>
      </c>
      <c r="H90" s="42">
        <v>1</v>
      </c>
      <c r="I90" s="42" t="s">
        <v>628</v>
      </c>
      <c r="J90" s="42" t="s">
        <v>659</v>
      </c>
      <c r="K90" s="42" t="s">
        <v>821</v>
      </c>
      <c r="L90" s="42" t="s">
        <v>761</v>
      </c>
      <c r="M90" s="42" t="s">
        <v>683</v>
      </c>
      <c r="N90" s="42" t="s">
        <v>698</v>
      </c>
      <c r="O90" s="42" t="s">
        <v>690</v>
      </c>
    </row>
    <row r="91" spans="1:15" s="43" customFormat="1">
      <c r="A91" s="42" t="s">
        <v>628</v>
      </c>
      <c r="B91" s="42" t="s">
        <v>256</v>
      </c>
      <c r="C91" s="42">
        <v>0</v>
      </c>
      <c r="D91" s="42">
        <v>0</v>
      </c>
      <c r="E91" s="42">
        <v>1</v>
      </c>
      <c r="F91" s="42">
        <v>1</v>
      </c>
      <c r="G91" s="42">
        <v>1</v>
      </c>
      <c r="H91" s="42">
        <v>1</v>
      </c>
      <c r="I91" s="42" t="s">
        <v>628</v>
      </c>
      <c r="J91" s="42" t="s">
        <v>659</v>
      </c>
      <c r="K91" s="42" t="s">
        <v>822</v>
      </c>
      <c r="L91" s="42" t="s">
        <v>761</v>
      </c>
      <c r="M91" s="42" t="s">
        <v>683</v>
      </c>
      <c r="N91" s="42" t="s">
        <v>698</v>
      </c>
      <c r="O91" s="42" t="s">
        <v>690</v>
      </c>
    </row>
    <row r="92" spans="1:15" s="43" customFormat="1">
      <c r="A92" s="42" t="s">
        <v>628</v>
      </c>
      <c r="B92" s="42" t="s">
        <v>256</v>
      </c>
      <c r="C92" s="42">
        <v>0</v>
      </c>
      <c r="D92" s="42">
        <v>0</v>
      </c>
      <c r="E92" s="42">
        <v>1</v>
      </c>
      <c r="F92" s="42">
        <v>1</v>
      </c>
      <c r="G92" s="42">
        <v>1</v>
      </c>
      <c r="H92" s="42">
        <v>1</v>
      </c>
      <c r="I92" s="42" t="s">
        <v>628</v>
      </c>
      <c r="J92" s="42" t="s">
        <v>659</v>
      </c>
      <c r="K92" s="42" t="s">
        <v>823</v>
      </c>
      <c r="L92" s="42" t="s">
        <v>761</v>
      </c>
      <c r="M92" s="42" t="s">
        <v>683</v>
      </c>
      <c r="N92" s="42" t="s">
        <v>702</v>
      </c>
      <c r="O92" s="42" t="s">
        <v>725</v>
      </c>
    </row>
    <row r="93" spans="1:15" s="43" customFormat="1">
      <c r="A93" s="42" t="s">
        <v>628</v>
      </c>
      <c r="B93" s="42" t="s">
        <v>256</v>
      </c>
      <c r="C93" s="42">
        <v>0</v>
      </c>
      <c r="D93" s="42">
        <v>0</v>
      </c>
      <c r="E93" s="42">
        <v>1</v>
      </c>
      <c r="F93" s="42">
        <v>1</v>
      </c>
      <c r="G93" s="42">
        <v>1</v>
      </c>
      <c r="H93" s="42">
        <v>1</v>
      </c>
      <c r="I93" s="42" t="s">
        <v>168</v>
      </c>
      <c r="J93" s="42" t="s">
        <v>502</v>
      </c>
      <c r="K93" s="42" t="s">
        <v>824</v>
      </c>
      <c r="L93" s="42" t="s">
        <v>761</v>
      </c>
      <c r="M93" s="42" t="s">
        <v>683</v>
      </c>
      <c r="N93" s="42" t="s">
        <v>710</v>
      </c>
      <c r="O93" s="42" t="s">
        <v>710</v>
      </c>
    </row>
    <row r="94" spans="1:15" s="43" customFormat="1">
      <c r="A94" s="42" t="s">
        <v>642</v>
      </c>
      <c r="B94" s="42" t="s">
        <v>326</v>
      </c>
      <c r="C94" s="42">
        <v>0</v>
      </c>
      <c r="D94" s="42">
        <v>0</v>
      </c>
      <c r="E94" s="42">
        <v>1</v>
      </c>
      <c r="F94" s="42">
        <v>1</v>
      </c>
      <c r="G94" s="42">
        <v>0</v>
      </c>
      <c r="H94" s="42">
        <v>1</v>
      </c>
      <c r="I94" s="42" t="s">
        <v>642</v>
      </c>
      <c r="J94" s="42" t="s">
        <v>686</v>
      </c>
      <c r="K94" s="42" t="s">
        <v>825</v>
      </c>
      <c r="L94" s="42" t="s">
        <v>724</v>
      </c>
      <c r="M94" s="42" t="s">
        <v>683</v>
      </c>
      <c r="N94" s="42" t="s">
        <v>710</v>
      </c>
      <c r="O94" s="42" t="s">
        <v>710</v>
      </c>
    </row>
    <row r="95" spans="1:15" s="43" customFormat="1">
      <c r="A95" s="42" t="s">
        <v>642</v>
      </c>
      <c r="B95" s="42" t="s">
        <v>326</v>
      </c>
      <c r="C95" s="42">
        <v>0</v>
      </c>
      <c r="D95" s="42">
        <v>0</v>
      </c>
      <c r="E95" s="42">
        <v>1</v>
      </c>
      <c r="F95" s="42">
        <v>1</v>
      </c>
      <c r="G95" s="42">
        <v>0</v>
      </c>
      <c r="H95" s="42">
        <v>1</v>
      </c>
      <c r="I95" s="42" t="s">
        <v>642</v>
      </c>
      <c r="J95" s="42" t="s">
        <v>686</v>
      </c>
      <c r="K95" s="42" t="s">
        <v>826</v>
      </c>
      <c r="L95" s="42" t="s">
        <v>827</v>
      </c>
      <c r="M95" s="42" t="s">
        <v>683</v>
      </c>
      <c r="N95" s="42" t="s">
        <v>702</v>
      </c>
      <c r="O95" s="42" t="s">
        <v>693</v>
      </c>
    </row>
    <row r="96" spans="1:15" s="43" customFormat="1">
      <c r="A96" s="42" t="s">
        <v>642</v>
      </c>
      <c r="B96" s="42" t="s">
        <v>326</v>
      </c>
      <c r="C96" s="42">
        <v>0</v>
      </c>
      <c r="D96" s="42">
        <v>0</v>
      </c>
      <c r="E96" s="42">
        <v>1</v>
      </c>
      <c r="F96" s="42">
        <v>1</v>
      </c>
      <c r="G96" s="42">
        <v>0</v>
      </c>
      <c r="H96" s="42">
        <v>1</v>
      </c>
      <c r="I96" s="42" t="s">
        <v>642</v>
      </c>
      <c r="J96" s="42" t="s">
        <v>686</v>
      </c>
      <c r="K96" s="42" t="s">
        <v>828</v>
      </c>
      <c r="L96" s="42" t="s">
        <v>829</v>
      </c>
      <c r="M96" s="42" t="s">
        <v>683</v>
      </c>
      <c r="N96" s="42" t="s">
        <v>702</v>
      </c>
      <c r="O96" s="42" t="s">
        <v>693</v>
      </c>
    </row>
    <row r="97" spans="1:15" s="43" customFormat="1">
      <c r="A97" s="42" t="s">
        <v>642</v>
      </c>
      <c r="B97" s="42" t="s">
        <v>326</v>
      </c>
      <c r="C97" s="42">
        <v>0</v>
      </c>
      <c r="D97" s="42">
        <v>0</v>
      </c>
      <c r="E97" s="42">
        <v>1</v>
      </c>
      <c r="F97" s="42">
        <v>1</v>
      </c>
      <c r="G97" s="42">
        <v>0</v>
      </c>
      <c r="H97" s="42">
        <v>1</v>
      </c>
      <c r="I97" s="42" t="s">
        <v>642</v>
      </c>
      <c r="J97" s="42" t="s">
        <v>686</v>
      </c>
      <c r="K97" s="42" t="s">
        <v>830</v>
      </c>
      <c r="L97" s="42" t="s">
        <v>724</v>
      </c>
      <c r="M97" s="42" t="s">
        <v>683</v>
      </c>
      <c r="N97" s="42" t="s">
        <v>710</v>
      </c>
      <c r="O97" s="42" t="s">
        <v>710</v>
      </c>
    </row>
    <row r="98" spans="1:15" s="43" customFormat="1">
      <c r="A98" s="42" t="s">
        <v>641</v>
      </c>
      <c r="B98" s="42" t="s">
        <v>326</v>
      </c>
      <c r="C98" s="42">
        <v>0</v>
      </c>
      <c r="D98" s="42">
        <v>1</v>
      </c>
      <c r="E98" s="42">
        <v>1</v>
      </c>
      <c r="F98" s="42">
        <v>1</v>
      </c>
      <c r="G98" s="42">
        <v>0</v>
      </c>
      <c r="H98" s="42">
        <v>1</v>
      </c>
      <c r="I98" s="42" t="s">
        <v>641</v>
      </c>
      <c r="J98" s="42" t="s">
        <v>686</v>
      </c>
      <c r="K98" s="42" t="s">
        <v>831</v>
      </c>
      <c r="L98" s="42" t="s">
        <v>707</v>
      </c>
      <c r="M98" s="42" t="s">
        <v>683</v>
      </c>
      <c r="N98" s="42" t="s">
        <v>705</v>
      </c>
      <c r="O98" s="42" t="s">
        <v>751</v>
      </c>
    </row>
    <row r="99" spans="1:15" s="43" customFormat="1">
      <c r="A99" s="42" t="s">
        <v>641</v>
      </c>
      <c r="B99" s="42" t="s">
        <v>326</v>
      </c>
      <c r="C99" s="42">
        <v>0</v>
      </c>
      <c r="D99" s="42">
        <v>1</v>
      </c>
      <c r="E99" s="42">
        <v>1</v>
      </c>
      <c r="F99" s="42">
        <v>1</v>
      </c>
      <c r="G99" s="42">
        <v>0</v>
      </c>
      <c r="H99" s="42">
        <v>1</v>
      </c>
      <c r="I99" s="42" t="s">
        <v>576</v>
      </c>
      <c r="J99" s="42" t="s">
        <v>657</v>
      </c>
      <c r="K99" s="42" t="s">
        <v>832</v>
      </c>
      <c r="L99" s="42" t="s">
        <v>833</v>
      </c>
      <c r="M99" s="42" t="s">
        <v>683</v>
      </c>
      <c r="N99" s="42" t="s">
        <v>705</v>
      </c>
      <c r="O99" s="42" t="s">
        <v>693</v>
      </c>
    </row>
    <row r="100" spans="1:15" s="43" customFormat="1">
      <c r="A100" s="42" t="s">
        <v>641</v>
      </c>
      <c r="B100" s="42" t="s">
        <v>326</v>
      </c>
      <c r="C100" s="42">
        <v>0</v>
      </c>
      <c r="D100" s="42">
        <v>1</v>
      </c>
      <c r="E100" s="42">
        <v>1</v>
      </c>
      <c r="F100" s="42">
        <v>1</v>
      </c>
      <c r="G100" s="42">
        <v>0</v>
      </c>
      <c r="H100" s="42">
        <v>1</v>
      </c>
      <c r="I100" s="42" t="s">
        <v>641</v>
      </c>
      <c r="J100" s="42" t="s">
        <v>686</v>
      </c>
      <c r="K100" s="42" t="s">
        <v>834</v>
      </c>
      <c r="L100" s="42" t="s">
        <v>813</v>
      </c>
      <c r="M100" s="42" t="s">
        <v>683</v>
      </c>
      <c r="N100" s="42" t="s">
        <v>684</v>
      </c>
      <c r="O100" s="42" t="s">
        <v>693</v>
      </c>
    </row>
    <row r="101" spans="1:15" s="43" customFormat="1">
      <c r="A101" s="42" t="s">
        <v>641</v>
      </c>
      <c r="B101" s="42" t="s">
        <v>326</v>
      </c>
      <c r="C101" s="42">
        <v>0</v>
      </c>
      <c r="D101" s="42">
        <v>1</v>
      </c>
      <c r="E101" s="42">
        <v>1</v>
      </c>
      <c r="F101" s="42">
        <v>1</v>
      </c>
      <c r="G101" s="42">
        <v>0</v>
      </c>
      <c r="H101" s="42">
        <v>1</v>
      </c>
      <c r="I101" s="42" t="s">
        <v>641</v>
      </c>
      <c r="J101" s="42" t="s">
        <v>686</v>
      </c>
      <c r="K101" s="42" t="s">
        <v>835</v>
      </c>
      <c r="L101" s="42" t="s">
        <v>827</v>
      </c>
      <c r="M101" s="42" t="s">
        <v>683</v>
      </c>
      <c r="N101" s="42" t="s">
        <v>710</v>
      </c>
      <c r="O101" s="42" t="s">
        <v>710</v>
      </c>
    </row>
    <row r="102" spans="1:15" s="43" customFormat="1">
      <c r="A102" s="42" t="s">
        <v>512</v>
      </c>
      <c r="B102" s="42" t="s">
        <v>168</v>
      </c>
      <c r="C102" s="42">
        <v>1</v>
      </c>
      <c r="D102" s="42">
        <v>0</v>
      </c>
      <c r="E102" s="42">
        <v>1</v>
      </c>
      <c r="F102" s="42">
        <v>1</v>
      </c>
      <c r="G102" s="42">
        <v>1</v>
      </c>
      <c r="H102" s="42">
        <v>1</v>
      </c>
      <c r="I102" s="42" t="s">
        <v>512</v>
      </c>
      <c r="J102" s="42" t="s">
        <v>654</v>
      </c>
      <c r="K102" s="42" t="s">
        <v>836</v>
      </c>
      <c r="L102" s="42" t="s">
        <v>718</v>
      </c>
      <c r="M102" s="42" t="s">
        <v>683</v>
      </c>
      <c r="N102" s="42" t="s">
        <v>710</v>
      </c>
      <c r="O102" s="42" t="s">
        <v>710</v>
      </c>
    </row>
    <row r="103" spans="1:15" s="43" customFormat="1">
      <c r="A103" s="42" t="s">
        <v>512</v>
      </c>
      <c r="B103" s="42" t="s">
        <v>168</v>
      </c>
      <c r="C103" s="42">
        <v>1</v>
      </c>
      <c r="D103" s="42">
        <v>0</v>
      </c>
      <c r="E103" s="42">
        <v>1</v>
      </c>
      <c r="F103" s="42">
        <v>1</v>
      </c>
      <c r="G103" s="42">
        <v>1</v>
      </c>
      <c r="H103" s="42">
        <v>1</v>
      </c>
      <c r="I103" s="42" t="s">
        <v>512</v>
      </c>
      <c r="J103" s="42" t="s">
        <v>654</v>
      </c>
      <c r="K103" s="42" t="s">
        <v>836</v>
      </c>
      <c r="L103" s="42" t="s">
        <v>718</v>
      </c>
      <c r="M103" s="42" t="s">
        <v>683</v>
      </c>
      <c r="N103" s="42" t="s">
        <v>710</v>
      </c>
      <c r="O103" s="42" t="s">
        <v>710</v>
      </c>
    </row>
    <row r="104" spans="1:15" s="43" customFormat="1">
      <c r="A104" s="42" t="s">
        <v>512</v>
      </c>
      <c r="B104" s="42" t="s">
        <v>168</v>
      </c>
      <c r="C104" s="42">
        <v>1</v>
      </c>
      <c r="D104" s="42">
        <v>0</v>
      </c>
      <c r="E104" s="42">
        <v>1</v>
      </c>
      <c r="F104" s="42">
        <v>1</v>
      </c>
      <c r="G104" s="42">
        <v>1</v>
      </c>
      <c r="H104" s="42">
        <v>1</v>
      </c>
      <c r="I104" s="42" t="s">
        <v>512</v>
      </c>
      <c r="J104" s="42" t="s">
        <v>730</v>
      </c>
      <c r="K104" s="42" t="s">
        <v>837</v>
      </c>
      <c r="L104" s="42" t="s">
        <v>838</v>
      </c>
      <c r="M104" s="42" t="s">
        <v>683</v>
      </c>
      <c r="N104" s="42" t="s">
        <v>710</v>
      </c>
      <c r="O104" s="42" t="s">
        <v>710</v>
      </c>
    </row>
    <row r="105" spans="1:15" s="45" customFormat="1">
      <c r="A105" s="44" t="s">
        <v>512</v>
      </c>
      <c r="B105" s="44" t="s">
        <v>168</v>
      </c>
      <c r="C105" s="44">
        <v>1</v>
      </c>
      <c r="D105" s="44">
        <v>0</v>
      </c>
      <c r="E105" s="44">
        <v>1</v>
      </c>
      <c r="F105" s="44">
        <v>1</v>
      </c>
      <c r="G105" s="44">
        <v>1</v>
      </c>
      <c r="H105" s="44">
        <v>1</v>
      </c>
      <c r="I105" s="44" t="s">
        <v>168</v>
      </c>
      <c r="J105" s="44" t="s">
        <v>502</v>
      </c>
      <c r="K105" s="44" t="s">
        <v>836</v>
      </c>
      <c r="L105" s="44" t="s">
        <v>718</v>
      </c>
      <c r="M105" s="44" t="s">
        <v>839</v>
      </c>
      <c r="N105" s="44" t="s">
        <v>702</v>
      </c>
      <c r="O105" s="44" t="s">
        <v>725</v>
      </c>
    </row>
    <row r="106" spans="1:15" s="45" customFormat="1">
      <c r="A106" s="44" t="s">
        <v>504</v>
      </c>
      <c r="B106" s="44" t="s">
        <v>202</v>
      </c>
      <c r="C106" s="44">
        <v>1</v>
      </c>
      <c r="D106" s="44">
        <v>0</v>
      </c>
      <c r="E106" s="44">
        <v>0</v>
      </c>
      <c r="F106" s="44">
        <v>1</v>
      </c>
      <c r="G106" s="44">
        <v>1</v>
      </c>
      <c r="H106" s="44">
        <v>1</v>
      </c>
      <c r="I106" s="44" t="s">
        <v>504</v>
      </c>
      <c r="J106" s="44" t="s">
        <v>654</v>
      </c>
      <c r="K106" s="44" t="s">
        <v>840</v>
      </c>
      <c r="L106" s="44" t="s">
        <v>841</v>
      </c>
      <c r="M106" s="44" t="s">
        <v>839</v>
      </c>
      <c r="N106" s="44" t="s">
        <v>692</v>
      </c>
      <c r="O106" s="44" t="s">
        <v>693</v>
      </c>
    </row>
    <row r="107" spans="1:15" s="45" customFormat="1">
      <c r="A107" s="44" t="s">
        <v>504</v>
      </c>
      <c r="B107" s="44" t="s">
        <v>202</v>
      </c>
      <c r="C107" s="44">
        <v>1</v>
      </c>
      <c r="D107" s="44">
        <v>0</v>
      </c>
      <c r="E107" s="44">
        <v>0</v>
      </c>
      <c r="F107" s="44">
        <v>1</v>
      </c>
      <c r="G107" s="44">
        <v>1</v>
      </c>
      <c r="H107" s="44">
        <v>1</v>
      </c>
      <c r="I107" s="44" t="s">
        <v>504</v>
      </c>
      <c r="J107" s="44" t="s">
        <v>560</v>
      </c>
      <c r="K107" s="44" t="s">
        <v>842</v>
      </c>
      <c r="L107" s="44" t="s">
        <v>724</v>
      </c>
      <c r="M107" s="44" t="s">
        <v>839</v>
      </c>
      <c r="N107" s="44" t="s">
        <v>698</v>
      </c>
      <c r="O107" s="44" t="s">
        <v>725</v>
      </c>
    </row>
    <row r="108" spans="1:15" s="45" customFormat="1">
      <c r="A108" s="44" t="s">
        <v>504</v>
      </c>
      <c r="B108" s="44" t="s">
        <v>202</v>
      </c>
      <c r="C108" s="44">
        <v>1</v>
      </c>
      <c r="D108" s="44">
        <v>0</v>
      </c>
      <c r="E108" s="44">
        <v>0</v>
      </c>
      <c r="F108" s="44">
        <v>1</v>
      </c>
      <c r="G108" s="44">
        <v>1</v>
      </c>
      <c r="H108" s="44">
        <v>1</v>
      </c>
      <c r="I108" s="44" t="s">
        <v>504</v>
      </c>
      <c r="J108" s="44" t="s">
        <v>560</v>
      </c>
      <c r="K108" s="44" t="s">
        <v>843</v>
      </c>
      <c r="L108" s="44" t="s">
        <v>688</v>
      </c>
      <c r="M108" s="44" t="s">
        <v>839</v>
      </c>
      <c r="N108" s="44" t="s">
        <v>702</v>
      </c>
      <c r="O108" s="44" t="s">
        <v>685</v>
      </c>
    </row>
    <row r="109" spans="1:15" s="45" customFormat="1">
      <c r="A109" s="44" t="s">
        <v>504</v>
      </c>
      <c r="B109" s="44" t="s">
        <v>202</v>
      </c>
      <c r="C109" s="44">
        <v>1</v>
      </c>
      <c r="D109" s="44">
        <v>0</v>
      </c>
      <c r="E109" s="44">
        <v>0</v>
      </c>
      <c r="F109" s="44">
        <v>1</v>
      </c>
      <c r="G109" s="44">
        <v>1</v>
      </c>
      <c r="H109" s="44">
        <v>1</v>
      </c>
      <c r="I109" s="44" t="s">
        <v>504</v>
      </c>
      <c r="J109" s="44" t="s">
        <v>560</v>
      </c>
      <c r="K109" s="44" t="s">
        <v>843</v>
      </c>
      <c r="L109" s="44" t="s">
        <v>688</v>
      </c>
      <c r="M109" s="44" t="s">
        <v>839</v>
      </c>
      <c r="N109" s="44" t="s">
        <v>702</v>
      </c>
      <c r="O109" s="44" t="s">
        <v>685</v>
      </c>
    </row>
    <row r="110" spans="1:15" s="45" customFormat="1">
      <c r="A110" s="44" t="s">
        <v>654</v>
      </c>
      <c r="B110" s="44" t="s">
        <v>168</v>
      </c>
      <c r="C110" s="44">
        <v>1</v>
      </c>
      <c r="D110" s="44">
        <v>1</v>
      </c>
      <c r="E110" s="44">
        <v>0</v>
      </c>
      <c r="F110" s="44">
        <v>0</v>
      </c>
      <c r="G110" s="44">
        <v>1</v>
      </c>
      <c r="H110" s="44">
        <v>1</v>
      </c>
      <c r="I110" s="44" t="s">
        <v>654</v>
      </c>
      <c r="J110" s="44" t="s">
        <v>730</v>
      </c>
      <c r="K110" s="44" t="s">
        <v>844</v>
      </c>
      <c r="L110" s="44" t="s">
        <v>695</v>
      </c>
      <c r="M110" s="44" t="s">
        <v>839</v>
      </c>
      <c r="N110" s="44" t="s">
        <v>698</v>
      </c>
      <c r="O110" s="44" t="s">
        <v>753</v>
      </c>
    </row>
    <row r="111" spans="1:15" s="45" customFormat="1">
      <c r="A111" s="44" t="s">
        <v>654</v>
      </c>
      <c r="B111" s="44" t="s">
        <v>168</v>
      </c>
      <c r="C111" s="44">
        <v>1</v>
      </c>
      <c r="D111" s="44">
        <v>1</v>
      </c>
      <c r="E111" s="44">
        <v>0</v>
      </c>
      <c r="F111" s="44">
        <v>0</v>
      </c>
      <c r="G111" s="44">
        <v>1</v>
      </c>
      <c r="H111" s="44">
        <v>1</v>
      </c>
      <c r="I111" s="44" t="s">
        <v>654</v>
      </c>
      <c r="J111" s="44" t="s">
        <v>654</v>
      </c>
      <c r="K111" s="44" t="s">
        <v>844</v>
      </c>
      <c r="L111" s="44" t="s">
        <v>695</v>
      </c>
      <c r="M111" s="44" t="s">
        <v>839</v>
      </c>
      <c r="N111" s="44" t="s">
        <v>698</v>
      </c>
      <c r="O111" s="44" t="s">
        <v>753</v>
      </c>
    </row>
    <row r="112" spans="1:15" s="45" customFormat="1">
      <c r="A112" s="44" t="s">
        <v>654</v>
      </c>
      <c r="B112" s="44" t="s">
        <v>168</v>
      </c>
      <c r="C112" s="44">
        <v>1</v>
      </c>
      <c r="D112" s="44">
        <v>1</v>
      </c>
      <c r="E112" s="44">
        <v>0</v>
      </c>
      <c r="F112" s="44">
        <v>0</v>
      </c>
      <c r="G112" s="44">
        <v>1</v>
      </c>
      <c r="H112" s="44">
        <v>1</v>
      </c>
      <c r="I112" s="44" t="s">
        <v>654</v>
      </c>
      <c r="J112" s="44" t="s">
        <v>730</v>
      </c>
      <c r="K112" s="44" t="s">
        <v>845</v>
      </c>
      <c r="L112" s="44" t="s">
        <v>756</v>
      </c>
      <c r="M112" s="44" t="s">
        <v>839</v>
      </c>
      <c r="N112" s="44" t="s">
        <v>846</v>
      </c>
      <c r="O112" s="44" t="s">
        <v>847</v>
      </c>
    </row>
    <row r="113" spans="1:16" s="45" customFormat="1">
      <c r="A113" s="44" t="s">
        <v>654</v>
      </c>
      <c r="B113" s="44" t="s">
        <v>168</v>
      </c>
      <c r="C113" s="44">
        <v>1</v>
      </c>
      <c r="D113" s="44">
        <v>1</v>
      </c>
      <c r="E113" s="44">
        <v>0</v>
      </c>
      <c r="F113" s="44">
        <v>0</v>
      </c>
      <c r="G113" s="44">
        <v>1</v>
      </c>
      <c r="H113" s="44">
        <v>1</v>
      </c>
      <c r="I113" s="44" t="s">
        <v>654</v>
      </c>
      <c r="J113" s="44" t="s">
        <v>730</v>
      </c>
      <c r="K113" s="44" t="s">
        <v>848</v>
      </c>
      <c r="L113" s="44" t="s">
        <v>695</v>
      </c>
      <c r="M113" s="44" t="s">
        <v>839</v>
      </c>
      <c r="N113" s="44" t="s">
        <v>849</v>
      </c>
      <c r="O113" s="44" t="s">
        <v>753</v>
      </c>
    </row>
    <row r="114" spans="1:16" s="45" customFormat="1">
      <c r="A114" s="44" t="s">
        <v>528</v>
      </c>
      <c r="B114" s="44" t="s">
        <v>202</v>
      </c>
      <c r="C114" s="44">
        <v>0</v>
      </c>
      <c r="D114" s="44">
        <v>1</v>
      </c>
      <c r="E114" s="44">
        <v>0</v>
      </c>
      <c r="F114" s="44">
        <v>1</v>
      </c>
      <c r="G114" s="44">
        <v>1</v>
      </c>
      <c r="H114" s="44">
        <v>0</v>
      </c>
      <c r="I114" s="44" t="s">
        <v>528</v>
      </c>
      <c r="J114" s="44" t="s">
        <v>737</v>
      </c>
      <c r="K114" s="44" t="s">
        <v>850</v>
      </c>
      <c r="L114" s="44" t="s">
        <v>688</v>
      </c>
      <c r="M114" s="44" t="s">
        <v>839</v>
      </c>
      <c r="N114" s="44" t="s">
        <v>684</v>
      </c>
      <c r="O114" s="44" t="s">
        <v>753</v>
      </c>
    </row>
    <row r="115" spans="1:16" s="45" customFormat="1">
      <c r="A115" s="44" t="s">
        <v>528</v>
      </c>
      <c r="B115" s="44" t="s">
        <v>202</v>
      </c>
      <c r="C115" s="44">
        <v>0</v>
      </c>
      <c r="D115" s="44">
        <v>1</v>
      </c>
      <c r="E115" s="44">
        <v>0</v>
      </c>
      <c r="F115" s="44">
        <v>1</v>
      </c>
      <c r="G115" s="44">
        <v>1</v>
      </c>
      <c r="H115" s="44">
        <v>0</v>
      </c>
      <c r="I115" s="44" t="s">
        <v>527</v>
      </c>
      <c r="J115" s="44" t="s">
        <v>737</v>
      </c>
      <c r="K115" s="44" t="s">
        <v>850</v>
      </c>
      <c r="L115" s="44" t="s">
        <v>688</v>
      </c>
      <c r="M115" s="44" t="s">
        <v>839</v>
      </c>
      <c r="N115" s="44" t="s">
        <v>684</v>
      </c>
      <c r="O115" s="44" t="s">
        <v>753</v>
      </c>
    </row>
    <row r="116" spans="1:16" s="45" customFormat="1">
      <c r="A116" s="44" t="s">
        <v>528</v>
      </c>
      <c r="B116" s="44" t="s">
        <v>202</v>
      </c>
      <c r="C116" s="44">
        <v>0</v>
      </c>
      <c r="D116" s="44">
        <v>1</v>
      </c>
      <c r="E116" s="44">
        <v>0</v>
      </c>
      <c r="F116" s="44">
        <v>1</v>
      </c>
      <c r="G116" s="44">
        <v>1</v>
      </c>
      <c r="H116" s="44">
        <v>0</v>
      </c>
      <c r="I116" s="44" t="s">
        <v>529</v>
      </c>
      <c r="J116" s="44" t="s">
        <v>737</v>
      </c>
      <c r="K116" s="44" t="s">
        <v>851</v>
      </c>
      <c r="L116" s="44" t="s">
        <v>794</v>
      </c>
      <c r="M116" s="44" t="s">
        <v>839</v>
      </c>
      <c r="N116" s="44" t="s">
        <v>684</v>
      </c>
      <c r="O116" s="44" t="s">
        <v>753</v>
      </c>
    </row>
    <row r="117" spans="1:16" s="45" customFormat="1">
      <c r="A117" s="44" t="s">
        <v>528</v>
      </c>
      <c r="B117" s="44" t="s">
        <v>202</v>
      </c>
      <c r="C117" s="44">
        <v>0</v>
      </c>
      <c r="D117" s="44">
        <v>1</v>
      </c>
      <c r="E117" s="44">
        <v>0</v>
      </c>
      <c r="F117" s="44">
        <v>1</v>
      </c>
      <c r="G117" s="44">
        <v>1</v>
      </c>
      <c r="H117" s="44">
        <v>0</v>
      </c>
      <c r="I117" s="44" t="s">
        <v>528</v>
      </c>
      <c r="J117" s="44" t="s">
        <v>737</v>
      </c>
      <c r="K117" s="44" t="s">
        <v>852</v>
      </c>
      <c r="L117" s="44" t="s">
        <v>707</v>
      </c>
      <c r="M117" s="44" t="s">
        <v>839</v>
      </c>
      <c r="N117" s="44" t="s">
        <v>684</v>
      </c>
      <c r="O117" s="44" t="s">
        <v>753</v>
      </c>
    </row>
    <row r="118" spans="1:16" s="45" customFormat="1">
      <c r="A118" s="44" t="s">
        <v>611</v>
      </c>
      <c r="B118" s="44" t="s">
        <v>256</v>
      </c>
      <c r="C118" s="44">
        <v>1</v>
      </c>
      <c r="D118" s="44">
        <v>0</v>
      </c>
      <c r="E118" s="44">
        <v>1</v>
      </c>
      <c r="F118" s="44">
        <v>1</v>
      </c>
      <c r="G118" s="44">
        <v>1</v>
      </c>
      <c r="H118" s="44">
        <v>1</v>
      </c>
      <c r="I118" s="44" t="s">
        <v>518</v>
      </c>
      <c r="J118" s="44" t="s">
        <v>686</v>
      </c>
      <c r="K118" s="44" t="s">
        <v>853</v>
      </c>
      <c r="L118" s="44" t="s">
        <v>746</v>
      </c>
      <c r="M118" s="44" t="s">
        <v>839</v>
      </c>
      <c r="N118" s="44" t="s">
        <v>684</v>
      </c>
      <c r="O118" s="44" t="s">
        <v>753</v>
      </c>
    </row>
    <row r="119" spans="1:16" s="45" customFormat="1">
      <c r="A119" s="44" t="s">
        <v>611</v>
      </c>
      <c r="B119" s="44" t="s">
        <v>256</v>
      </c>
      <c r="C119" s="44">
        <v>1</v>
      </c>
      <c r="D119" s="44">
        <v>0</v>
      </c>
      <c r="E119" s="44">
        <v>1</v>
      </c>
      <c r="F119" s="44">
        <v>1</v>
      </c>
      <c r="G119" s="44">
        <v>1</v>
      </c>
      <c r="H119" s="44">
        <v>1</v>
      </c>
      <c r="I119" s="44" t="s">
        <v>611</v>
      </c>
      <c r="J119" s="44" t="s">
        <v>618</v>
      </c>
      <c r="K119" s="44" t="s">
        <v>854</v>
      </c>
      <c r="L119" s="44" t="s">
        <v>794</v>
      </c>
      <c r="M119" s="44" t="s">
        <v>839</v>
      </c>
      <c r="N119" s="44" t="s">
        <v>849</v>
      </c>
      <c r="O119" s="44" t="s">
        <v>847</v>
      </c>
    </row>
    <row r="120" spans="1:16" s="45" customFormat="1">
      <c r="A120" s="44" t="s">
        <v>611</v>
      </c>
      <c r="B120" s="44" t="s">
        <v>256</v>
      </c>
      <c r="C120" s="44">
        <v>1</v>
      </c>
      <c r="D120" s="44">
        <v>0</v>
      </c>
      <c r="E120" s="44">
        <v>1</v>
      </c>
      <c r="F120" s="44">
        <v>1</v>
      </c>
      <c r="G120" s="44">
        <v>1</v>
      </c>
      <c r="H120" s="44">
        <v>1</v>
      </c>
      <c r="I120" s="44" t="s">
        <v>611</v>
      </c>
      <c r="J120" s="44" t="s">
        <v>618</v>
      </c>
      <c r="K120" s="44" t="s">
        <v>855</v>
      </c>
      <c r="L120" s="44" t="s">
        <v>827</v>
      </c>
      <c r="M120" s="44" t="s">
        <v>839</v>
      </c>
      <c r="N120" s="44" t="s">
        <v>702</v>
      </c>
      <c r="O120" s="44" t="s">
        <v>753</v>
      </c>
    </row>
    <row r="121" spans="1:16" s="45" customFormat="1">
      <c r="A121" s="44" t="s">
        <v>611</v>
      </c>
      <c r="B121" s="44" t="s">
        <v>256</v>
      </c>
      <c r="C121" s="44">
        <v>1</v>
      </c>
      <c r="D121" s="44">
        <v>0</v>
      </c>
      <c r="E121" s="44">
        <v>1</v>
      </c>
      <c r="F121" s="44">
        <v>1</v>
      </c>
      <c r="G121" s="44">
        <v>1</v>
      </c>
      <c r="H121" s="44">
        <v>1</v>
      </c>
      <c r="I121" s="44" t="s">
        <v>611</v>
      </c>
      <c r="J121" s="44" t="s">
        <v>618</v>
      </c>
      <c r="K121" s="44" t="s">
        <v>856</v>
      </c>
      <c r="L121" s="44" t="s">
        <v>827</v>
      </c>
      <c r="M121" s="44" t="s">
        <v>839</v>
      </c>
      <c r="N121" s="44" t="s">
        <v>684</v>
      </c>
      <c r="O121" s="44" t="s">
        <v>725</v>
      </c>
    </row>
    <row r="122" spans="1:16" s="45" customFormat="1">
      <c r="A122" s="46" t="s">
        <v>644</v>
      </c>
      <c r="B122" s="44" t="s">
        <v>326</v>
      </c>
      <c r="C122" s="44">
        <v>0</v>
      </c>
      <c r="D122" s="44">
        <v>1</v>
      </c>
      <c r="E122" s="44">
        <v>1</v>
      </c>
      <c r="F122" s="44">
        <v>1</v>
      </c>
      <c r="G122" s="44">
        <v>0</v>
      </c>
      <c r="H122" s="44">
        <v>1</v>
      </c>
      <c r="I122" s="44" t="s">
        <v>644</v>
      </c>
      <c r="J122" s="44" t="s">
        <v>686</v>
      </c>
      <c r="K122" s="44" t="s">
        <v>857</v>
      </c>
      <c r="L122" s="44" t="s">
        <v>714</v>
      </c>
      <c r="M122" s="44" t="s">
        <v>839</v>
      </c>
      <c r="N122" s="44" t="s">
        <v>710</v>
      </c>
      <c r="O122" s="44" t="s">
        <v>710</v>
      </c>
      <c r="P122" s="45" t="s">
        <v>858</v>
      </c>
    </row>
    <row r="123" spans="1:16" s="45" customFormat="1">
      <c r="A123" s="46" t="s">
        <v>644</v>
      </c>
      <c r="B123" s="44" t="s">
        <v>326</v>
      </c>
      <c r="C123" s="44">
        <v>0</v>
      </c>
      <c r="D123" s="44">
        <v>1</v>
      </c>
      <c r="E123" s="44">
        <v>1</v>
      </c>
      <c r="F123" s="44">
        <v>1</v>
      </c>
      <c r="G123" s="44">
        <v>0</v>
      </c>
      <c r="H123" s="44">
        <v>1</v>
      </c>
      <c r="I123" s="44" t="s">
        <v>644</v>
      </c>
      <c r="J123" s="44" t="s">
        <v>686</v>
      </c>
      <c r="K123" s="44" t="s">
        <v>859</v>
      </c>
      <c r="L123" s="44" t="s">
        <v>697</v>
      </c>
      <c r="M123" s="44" t="s">
        <v>839</v>
      </c>
      <c r="N123" s="44" t="s">
        <v>710</v>
      </c>
      <c r="O123" s="44" t="s">
        <v>710</v>
      </c>
    </row>
    <row r="124" spans="1:16" s="45" customFormat="1">
      <c r="A124" s="46" t="s">
        <v>644</v>
      </c>
      <c r="B124" s="44" t="s">
        <v>326</v>
      </c>
      <c r="C124" s="44">
        <v>0</v>
      </c>
      <c r="D124" s="44">
        <v>1</v>
      </c>
      <c r="E124" s="44">
        <v>1</v>
      </c>
      <c r="F124" s="44">
        <v>1</v>
      </c>
      <c r="G124" s="44">
        <v>0</v>
      </c>
      <c r="H124" s="44">
        <v>1</v>
      </c>
      <c r="I124" s="44" t="s">
        <v>630</v>
      </c>
      <c r="J124" s="44" t="s">
        <v>659</v>
      </c>
      <c r="K124" s="44" t="s">
        <v>860</v>
      </c>
      <c r="L124" s="44" t="s">
        <v>709</v>
      </c>
      <c r="M124" s="44" t="s">
        <v>839</v>
      </c>
      <c r="N124" s="44" t="s">
        <v>710</v>
      </c>
      <c r="O124" s="44" t="s">
        <v>710</v>
      </c>
    </row>
    <row r="125" spans="1:16" s="45" customFormat="1">
      <c r="A125" s="46" t="s">
        <v>644</v>
      </c>
      <c r="B125" s="44" t="s">
        <v>326</v>
      </c>
      <c r="C125" s="44">
        <v>0</v>
      </c>
      <c r="D125" s="44">
        <v>1</v>
      </c>
      <c r="E125" s="44">
        <v>1</v>
      </c>
      <c r="F125" s="44">
        <v>1</v>
      </c>
      <c r="G125" s="44">
        <v>0</v>
      </c>
      <c r="H125" s="44">
        <v>1</v>
      </c>
      <c r="I125" s="44" t="s">
        <v>644</v>
      </c>
      <c r="J125" s="44" t="s">
        <v>686</v>
      </c>
      <c r="K125" s="44" t="s">
        <v>861</v>
      </c>
      <c r="L125" s="44" t="s">
        <v>794</v>
      </c>
      <c r="M125" s="44" t="s">
        <v>839</v>
      </c>
      <c r="N125" s="44" t="s">
        <v>710</v>
      </c>
      <c r="O125" s="44" t="s">
        <v>710</v>
      </c>
    </row>
    <row r="126" spans="1:16" s="45" customFormat="1">
      <c r="A126" s="44" t="s">
        <v>568</v>
      </c>
      <c r="B126" s="44" t="s">
        <v>202</v>
      </c>
      <c r="C126" s="44">
        <v>0</v>
      </c>
      <c r="D126" s="44">
        <v>1</v>
      </c>
      <c r="E126" s="44">
        <v>0</v>
      </c>
      <c r="F126" s="44">
        <v>1</v>
      </c>
      <c r="G126" s="44">
        <v>1</v>
      </c>
      <c r="H126" s="44">
        <v>1</v>
      </c>
      <c r="I126" s="44" t="s">
        <v>568</v>
      </c>
      <c r="J126" s="44" t="s">
        <v>560</v>
      </c>
      <c r="K126" s="44" t="s">
        <v>862</v>
      </c>
      <c r="L126" s="44" t="s">
        <v>756</v>
      </c>
      <c r="M126" s="44" t="s">
        <v>839</v>
      </c>
      <c r="N126" s="44" t="s">
        <v>710</v>
      </c>
      <c r="O126" s="44" t="s">
        <v>710</v>
      </c>
      <c r="P126" s="45" t="s">
        <v>863</v>
      </c>
    </row>
    <row r="127" spans="1:16" s="45" customFormat="1">
      <c r="A127" s="44" t="s">
        <v>568</v>
      </c>
      <c r="B127" s="44" t="s">
        <v>202</v>
      </c>
      <c r="C127" s="44">
        <v>0</v>
      </c>
      <c r="D127" s="44">
        <v>1</v>
      </c>
      <c r="E127" s="44">
        <v>0</v>
      </c>
      <c r="F127" s="44">
        <v>1</v>
      </c>
      <c r="G127" s="44">
        <v>1</v>
      </c>
      <c r="H127" s="44">
        <v>1</v>
      </c>
      <c r="I127" s="44" t="s">
        <v>568</v>
      </c>
      <c r="J127" s="44" t="s">
        <v>560</v>
      </c>
      <c r="K127" s="44" t="s">
        <v>864</v>
      </c>
      <c r="L127" s="44" t="s">
        <v>746</v>
      </c>
      <c r="M127" s="44" t="s">
        <v>839</v>
      </c>
      <c r="N127" s="44" t="s">
        <v>684</v>
      </c>
      <c r="O127" s="44" t="s">
        <v>753</v>
      </c>
    </row>
    <row r="128" spans="1:16" s="45" customFormat="1">
      <c r="A128" s="44" t="s">
        <v>568</v>
      </c>
      <c r="B128" s="44" t="s">
        <v>202</v>
      </c>
      <c r="C128" s="44">
        <v>0</v>
      </c>
      <c r="D128" s="44">
        <v>1</v>
      </c>
      <c r="E128" s="44">
        <v>0</v>
      </c>
      <c r="F128" s="44">
        <v>1</v>
      </c>
      <c r="G128" s="44">
        <v>1</v>
      </c>
      <c r="H128" s="44">
        <v>1</v>
      </c>
      <c r="I128" s="44" t="s">
        <v>568</v>
      </c>
      <c r="J128" s="44" t="s">
        <v>560</v>
      </c>
      <c r="K128" s="44" t="s">
        <v>865</v>
      </c>
      <c r="L128" s="44" t="s">
        <v>866</v>
      </c>
      <c r="M128" s="44" t="s">
        <v>839</v>
      </c>
      <c r="N128" s="44" t="s">
        <v>698</v>
      </c>
      <c r="O128" s="44" t="s">
        <v>725</v>
      </c>
    </row>
    <row r="129" spans="1:15" s="45" customFormat="1">
      <c r="A129" s="44" t="s">
        <v>568</v>
      </c>
      <c r="B129" s="44" t="s">
        <v>202</v>
      </c>
      <c r="C129" s="44">
        <v>0</v>
      </c>
      <c r="D129" s="44">
        <v>1</v>
      </c>
      <c r="E129" s="44">
        <v>0</v>
      </c>
      <c r="F129" s="44">
        <v>1</v>
      </c>
      <c r="G129" s="44">
        <v>1</v>
      </c>
      <c r="H129" s="44">
        <v>1</v>
      </c>
      <c r="I129" s="44" t="s">
        <v>568</v>
      </c>
      <c r="J129" s="44" t="s">
        <v>560</v>
      </c>
      <c r="K129" s="44" t="s">
        <v>867</v>
      </c>
      <c r="L129" s="44" t="s">
        <v>841</v>
      </c>
      <c r="M129" s="44" t="s">
        <v>839</v>
      </c>
      <c r="N129" s="44" t="s">
        <v>684</v>
      </c>
      <c r="O129" s="44" t="s">
        <v>847</v>
      </c>
    </row>
    <row r="130" spans="1:15" s="45" customFormat="1">
      <c r="A130" s="44" t="s">
        <v>564</v>
      </c>
      <c r="B130" s="44" t="s">
        <v>202</v>
      </c>
      <c r="C130" s="44">
        <v>1</v>
      </c>
      <c r="D130" s="44">
        <v>0</v>
      </c>
      <c r="E130" s="44">
        <v>0</v>
      </c>
      <c r="F130" s="44">
        <v>0</v>
      </c>
      <c r="G130" s="44">
        <v>0</v>
      </c>
      <c r="H130" s="44">
        <v>0</v>
      </c>
      <c r="I130" s="44" t="s">
        <v>564</v>
      </c>
      <c r="J130" s="44" t="s">
        <v>560</v>
      </c>
      <c r="K130" s="44" t="s">
        <v>868</v>
      </c>
      <c r="L130" s="44" t="s">
        <v>688</v>
      </c>
      <c r="M130" s="44" t="s">
        <v>839</v>
      </c>
      <c r="N130" s="44" t="s">
        <v>702</v>
      </c>
      <c r="O130" s="44" t="s">
        <v>847</v>
      </c>
    </row>
    <row r="131" spans="1:15" s="45" customFormat="1">
      <c r="A131" s="44" t="s">
        <v>564</v>
      </c>
      <c r="B131" s="44" t="s">
        <v>202</v>
      </c>
      <c r="C131" s="44">
        <v>1</v>
      </c>
      <c r="D131" s="44">
        <v>0</v>
      </c>
      <c r="E131" s="44">
        <v>0</v>
      </c>
      <c r="F131" s="44">
        <v>0</v>
      </c>
      <c r="G131" s="44">
        <v>0</v>
      </c>
      <c r="H131" s="44">
        <v>0</v>
      </c>
      <c r="I131" s="44" t="s">
        <v>564</v>
      </c>
      <c r="J131" s="44" t="s">
        <v>560</v>
      </c>
      <c r="K131" s="44" t="s">
        <v>869</v>
      </c>
      <c r="L131" s="44" t="s">
        <v>870</v>
      </c>
      <c r="M131" s="44" t="s">
        <v>839</v>
      </c>
      <c r="N131" s="44" t="s">
        <v>702</v>
      </c>
      <c r="O131" s="44" t="s">
        <v>725</v>
      </c>
    </row>
    <row r="132" spans="1:15" s="45" customFormat="1">
      <c r="A132" s="44" t="s">
        <v>564</v>
      </c>
      <c r="B132" s="44" t="s">
        <v>202</v>
      </c>
      <c r="C132" s="44">
        <v>1</v>
      </c>
      <c r="D132" s="44">
        <v>0</v>
      </c>
      <c r="E132" s="44">
        <v>0</v>
      </c>
      <c r="F132" s="44">
        <v>0</v>
      </c>
      <c r="G132" s="44">
        <v>0</v>
      </c>
      <c r="H132" s="44">
        <v>0</v>
      </c>
      <c r="I132" s="44" t="s">
        <v>564</v>
      </c>
      <c r="J132" s="44" t="s">
        <v>560</v>
      </c>
      <c r="K132" s="44" t="s">
        <v>871</v>
      </c>
      <c r="L132" s="44" t="s">
        <v>841</v>
      </c>
      <c r="M132" s="44" t="s">
        <v>839</v>
      </c>
      <c r="N132" s="44" t="s">
        <v>702</v>
      </c>
      <c r="O132" s="44" t="s">
        <v>753</v>
      </c>
    </row>
    <row r="133" spans="1:15" s="45" customFormat="1">
      <c r="A133" s="44" t="s">
        <v>564</v>
      </c>
      <c r="B133" s="44" t="s">
        <v>202</v>
      </c>
      <c r="C133" s="44">
        <v>1</v>
      </c>
      <c r="D133" s="44">
        <v>0</v>
      </c>
      <c r="E133" s="44">
        <v>0</v>
      </c>
      <c r="F133" s="44">
        <v>0</v>
      </c>
      <c r="G133" s="44">
        <v>0</v>
      </c>
      <c r="H133" s="44">
        <v>0</v>
      </c>
      <c r="I133" s="44" t="s">
        <v>564</v>
      </c>
      <c r="J133" s="44" t="s">
        <v>560</v>
      </c>
      <c r="K133" s="44" t="s">
        <v>872</v>
      </c>
      <c r="L133" s="44" t="s">
        <v>807</v>
      </c>
      <c r="M133" s="44" t="s">
        <v>839</v>
      </c>
      <c r="N133" s="44" t="s">
        <v>684</v>
      </c>
      <c r="O133" s="44" t="s">
        <v>753</v>
      </c>
    </row>
    <row r="134" spans="1:15" s="45" customFormat="1">
      <c r="A134" s="44" t="s">
        <v>584</v>
      </c>
      <c r="B134" s="44" t="s">
        <v>256</v>
      </c>
      <c r="C134" s="44">
        <v>0</v>
      </c>
      <c r="D134" s="44">
        <v>1</v>
      </c>
      <c r="E134" s="44">
        <v>0</v>
      </c>
      <c r="F134" s="44">
        <v>0</v>
      </c>
      <c r="G134" s="44">
        <v>1</v>
      </c>
      <c r="H134" s="44">
        <v>1</v>
      </c>
      <c r="I134" s="44" t="s">
        <v>584</v>
      </c>
      <c r="J134" s="44" t="s">
        <v>657</v>
      </c>
      <c r="K134" s="44" t="s">
        <v>873</v>
      </c>
      <c r="L134" s="44" t="s">
        <v>709</v>
      </c>
      <c r="M134" s="44" t="s">
        <v>839</v>
      </c>
      <c r="N134" s="44" t="s">
        <v>684</v>
      </c>
      <c r="O134" s="44" t="s">
        <v>693</v>
      </c>
    </row>
    <row r="135" spans="1:15" s="45" customFormat="1">
      <c r="A135" s="44" t="s">
        <v>584</v>
      </c>
      <c r="B135" s="44" t="s">
        <v>256</v>
      </c>
      <c r="C135" s="44">
        <v>0</v>
      </c>
      <c r="D135" s="44">
        <v>1</v>
      </c>
      <c r="E135" s="44">
        <v>0</v>
      </c>
      <c r="F135" s="44">
        <v>0</v>
      </c>
      <c r="G135" s="44">
        <v>1</v>
      </c>
      <c r="H135" s="44">
        <v>1</v>
      </c>
      <c r="I135" s="44" t="s">
        <v>584</v>
      </c>
      <c r="J135" s="44" t="s">
        <v>657</v>
      </c>
      <c r="K135" s="44" t="s">
        <v>874</v>
      </c>
      <c r="L135" s="44" t="s">
        <v>761</v>
      </c>
      <c r="M135" s="44" t="s">
        <v>839</v>
      </c>
      <c r="N135" s="44" t="s">
        <v>684</v>
      </c>
      <c r="O135" s="44" t="s">
        <v>753</v>
      </c>
    </row>
    <row r="136" spans="1:15" s="45" customFormat="1">
      <c r="A136" s="44" t="s">
        <v>584</v>
      </c>
      <c r="B136" s="44" t="s">
        <v>256</v>
      </c>
      <c r="C136" s="44">
        <v>0</v>
      </c>
      <c r="D136" s="44">
        <v>1</v>
      </c>
      <c r="E136" s="44">
        <v>0</v>
      </c>
      <c r="F136" s="44">
        <v>0</v>
      </c>
      <c r="G136" s="44">
        <v>1</v>
      </c>
      <c r="H136" s="44">
        <v>1</v>
      </c>
      <c r="I136" s="44" t="s">
        <v>608</v>
      </c>
      <c r="J136" s="44" t="s">
        <v>618</v>
      </c>
      <c r="K136" s="44" t="s">
        <v>875</v>
      </c>
      <c r="L136" s="44" t="s">
        <v>709</v>
      </c>
      <c r="M136" s="44" t="s">
        <v>839</v>
      </c>
      <c r="N136" s="44" t="s">
        <v>684</v>
      </c>
      <c r="O136" s="44" t="s">
        <v>725</v>
      </c>
    </row>
    <row r="137" spans="1:15" s="45" customFormat="1">
      <c r="A137" s="44" t="s">
        <v>584</v>
      </c>
      <c r="B137" s="44" t="s">
        <v>256</v>
      </c>
      <c r="C137" s="44">
        <v>0</v>
      </c>
      <c r="D137" s="44">
        <v>1</v>
      </c>
      <c r="E137" s="44">
        <v>0</v>
      </c>
      <c r="F137" s="44">
        <v>0</v>
      </c>
      <c r="G137" s="44">
        <v>1</v>
      </c>
      <c r="H137" s="44">
        <v>1</v>
      </c>
      <c r="I137" s="44" t="s">
        <v>584</v>
      </c>
      <c r="J137" s="44" t="s">
        <v>657</v>
      </c>
      <c r="K137" s="44" t="s">
        <v>876</v>
      </c>
      <c r="L137" s="44" t="s">
        <v>688</v>
      </c>
      <c r="M137" s="44" t="s">
        <v>839</v>
      </c>
      <c r="N137" s="44" t="s">
        <v>684</v>
      </c>
      <c r="O137" s="44" t="s">
        <v>685</v>
      </c>
    </row>
    <row r="138" spans="1:15" s="45" customFormat="1">
      <c r="A138" s="44" t="s">
        <v>546</v>
      </c>
      <c r="B138" s="44" t="s">
        <v>202</v>
      </c>
      <c r="C138" s="44">
        <v>1</v>
      </c>
      <c r="D138" s="44">
        <v>0</v>
      </c>
      <c r="E138" s="44">
        <v>1</v>
      </c>
      <c r="F138" s="44">
        <v>1</v>
      </c>
      <c r="G138" s="44">
        <v>1</v>
      </c>
      <c r="H138" s="44">
        <v>1</v>
      </c>
      <c r="I138" s="44" t="s">
        <v>546</v>
      </c>
      <c r="J138" s="44" t="s">
        <v>773</v>
      </c>
      <c r="K138" s="44" t="s">
        <v>877</v>
      </c>
      <c r="L138" s="44" t="s">
        <v>797</v>
      </c>
      <c r="M138" s="44" t="s">
        <v>839</v>
      </c>
      <c r="N138" s="44" t="s">
        <v>702</v>
      </c>
      <c r="O138" s="44" t="s">
        <v>685</v>
      </c>
    </row>
    <row r="139" spans="1:15" s="45" customFormat="1">
      <c r="A139" s="44" t="s">
        <v>546</v>
      </c>
      <c r="B139" s="44" t="s">
        <v>202</v>
      </c>
      <c r="C139" s="44">
        <v>1</v>
      </c>
      <c r="D139" s="44">
        <v>0</v>
      </c>
      <c r="E139" s="44">
        <v>1</v>
      </c>
      <c r="F139" s="44">
        <v>1</v>
      </c>
      <c r="G139" s="44">
        <v>1</v>
      </c>
      <c r="H139" s="44">
        <v>1</v>
      </c>
      <c r="I139" s="44" t="s">
        <v>546</v>
      </c>
      <c r="J139" s="44" t="s">
        <v>773</v>
      </c>
      <c r="K139" s="44" t="s">
        <v>878</v>
      </c>
      <c r="L139" s="44" t="s">
        <v>761</v>
      </c>
      <c r="M139" s="44" t="s">
        <v>839</v>
      </c>
      <c r="N139" s="44" t="s">
        <v>702</v>
      </c>
      <c r="O139" s="44" t="s">
        <v>847</v>
      </c>
    </row>
    <row r="140" spans="1:15" s="45" customFormat="1">
      <c r="A140" s="44" t="s">
        <v>546</v>
      </c>
      <c r="B140" s="44" t="s">
        <v>202</v>
      </c>
      <c r="C140" s="44">
        <v>1</v>
      </c>
      <c r="D140" s="44">
        <v>0</v>
      </c>
      <c r="E140" s="44">
        <v>1</v>
      </c>
      <c r="F140" s="44">
        <v>1</v>
      </c>
      <c r="G140" s="44">
        <v>1</v>
      </c>
      <c r="H140" s="44">
        <v>1</v>
      </c>
      <c r="I140" s="44" t="s">
        <v>546</v>
      </c>
      <c r="J140" s="44" t="s">
        <v>773</v>
      </c>
      <c r="K140" s="44" t="s">
        <v>879</v>
      </c>
      <c r="L140" s="44" t="s">
        <v>827</v>
      </c>
      <c r="M140" s="44" t="s">
        <v>839</v>
      </c>
      <c r="N140" s="44" t="s">
        <v>698</v>
      </c>
      <c r="O140" s="44" t="s">
        <v>725</v>
      </c>
    </row>
    <row r="141" spans="1:15" s="45" customFormat="1">
      <c r="A141" s="44" t="s">
        <v>546</v>
      </c>
      <c r="B141" s="44" t="s">
        <v>202</v>
      </c>
      <c r="C141" s="44">
        <v>1</v>
      </c>
      <c r="D141" s="44">
        <v>0</v>
      </c>
      <c r="E141" s="44">
        <v>1</v>
      </c>
      <c r="F141" s="44">
        <v>1</v>
      </c>
      <c r="G141" s="44">
        <v>1</v>
      </c>
      <c r="H141" s="44">
        <v>1</v>
      </c>
      <c r="I141" s="44" t="s">
        <v>546</v>
      </c>
      <c r="J141" s="44" t="s">
        <v>773</v>
      </c>
      <c r="K141" s="44" t="s">
        <v>880</v>
      </c>
      <c r="L141" s="44" t="s">
        <v>714</v>
      </c>
      <c r="M141" s="44" t="s">
        <v>839</v>
      </c>
      <c r="N141" s="44" t="s">
        <v>698</v>
      </c>
      <c r="O141" s="44" t="s">
        <v>725</v>
      </c>
    </row>
    <row r="142" spans="1:15" s="45" customFormat="1">
      <c r="A142" s="44" t="s">
        <v>540</v>
      </c>
      <c r="B142" s="44" t="s">
        <v>202</v>
      </c>
      <c r="C142" s="44">
        <v>1</v>
      </c>
      <c r="D142" s="44">
        <v>0</v>
      </c>
      <c r="E142" s="44">
        <v>1</v>
      </c>
      <c r="F142" s="44">
        <v>1</v>
      </c>
      <c r="G142" s="44">
        <v>1</v>
      </c>
      <c r="H142" s="44">
        <v>0</v>
      </c>
      <c r="I142" s="44" t="s">
        <v>540</v>
      </c>
      <c r="J142" s="44" t="s">
        <v>773</v>
      </c>
      <c r="K142" s="44" t="s">
        <v>881</v>
      </c>
      <c r="L142" s="44" t="s">
        <v>709</v>
      </c>
      <c r="M142" s="44" t="s">
        <v>839</v>
      </c>
      <c r="N142" s="44" t="s">
        <v>702</v>
      </c>
      <c r="O142" s="44" t="s">
        <v>685</v>
      </c>
    </row>
    <row r="143" spans="1:15" s="45" customFormat="1">
      <c r="A143" s="44" t="s">
        <v>540</v>
      </c>
      <c r="B143" s="44" t="s">
        <v>202</v>
      </c>
      <c r="C143" s="44">
        <v>1</v>
      </c>
      <c r="D143" s="44">
        <v>0</v>
      </c>
      <c r="E143" s="44">
        <v>1</v>
      </c>
      <c r="F143" s="44">
        <v>1</v>
      </c>
      <c r="G143" s="44">
        <v>1</v>
      </c>
      <c r="H143" s="44">
        <v>0</v>
      </c>
      <c r="I143" s="44" t="s">
        <v>527</v>
      </c>
      <c r="J143" s="44" t="s">
        <v>737</v>
      </c>
      <c r="K143" s="44" t="s">
        <v>882</v>
      </c>
      <c r="L143" s="44" t="s">
        <v>746</v>
      </c>
      <c r="M143" s="44" t="s">
        <v>839</v>
      </c>
      <c r="N143" s="44" t="s">
        <v>698</v>
      </c>
      <c r="O143" s="44" t="s">
        <v>753</v>
      </c>
    </row>
    <row r="144" spans="1:15" s="45" customFormat="1">
      <c r="A144" s="44" t="s">
        <v>540</v>
      </c>
      <c r="B144" s="44" t="s">
        <v>202</v>
      </c>
      <c r="C144" s="44">
        <v>1</v>
      </c>
      <c r="D144" s="44">
        <v>0</v>
      </c>
      <c r="E144" s="44">
        <v>1</v>
      </c>
      <c r="F144" s="44">
        <v>1</v>
      </c>
      <c r="G144" s="44">
        <v>1</v>
      </c>
      <c r="H144" s="44">
        <v>0</v>
      </c>
      <c r="I144" s="44" t="s">
        <v>540</v>
      </c>
      <c r="J144" s="44" t="s">
        <v>773</v>
      </c>
      <c r="K144" s="44" t="s">
        <v>883</v>
      </c>
      <c r="L144" s="44" t="s">
        <v>818</v>
      </c>
      <c r="M144" s="44" t="s">
        <v>839</v>
      </c>
      <c r="N144" s="44" t="s">
        <v>698</v>
      </c>
      <c r="O144" s="44" t="s">
        <v>753</v>
      </c>
    </row>
    <row r="145" spans="1:16" s="45" customFormat="1">
      <c r="A145" s="44" t="s">
        <v>540</v>
      </c>
      <c r="B145" s="44" t="s">
        <v>202</v>
      </c>
      <c r="C145" s="44">
        <v>1</v>
      </c>
      <c r="D145" s="44">
        <v>0</v>
      </c>
      <c r="E145" s="44">
        <v>1</v>
      </c>
      <c r="F145" s="44">
        <v>1</v>
      </c>
      <c r="G145" s="44">
        <v>1</v>
      </c>
      <c r="H145" s="44">
        <v>0</v>
      </c>
      <c r="I145" s="44" t="s">
        <v>527</v>
      </c>
      <c r="J145" s="44" t="s">
        <v>737</v>
      </c>
      <c r="K145" s="44" t="s">
        <v>884</v>
      </c>
      <c r="L145" s="44" t="s">
        <v>746</v>
      </c>
      <c r="M145" s="44" t="s">
        <v>839</v>
      </c>
      <c r="N145" s="44" t="s">
        <v>698</v>
      </c>
      <c r="O145" s="44" t="s">
        <v>753</v>
      </c>
    </row>
    <row r="146" spans="1:16" s="45" customFormat="1">
      <c r="A146" s="44" t="s">
        <v>559</v>
      </c>
      <c r="B146" s="44" t="s">
        <v>202</v>
      </c>
      <c r="C146" s="44">
        <v>0</v>
      </c>
      <c r="D146" s="44">
        <v>1</v>
      </c>
      <c r="E146" s="44">
        <v>0</v>
      </c>
      <c r="F146" s="44">
        <v>0</v>
      </c>
      <c r="G146" s="44">
        <v>1</v>
      </c>
      <c r="H146" s="44">
        <v>1</v>
      </c>
      <c r="I146" s="44" t="s">
        <v>559</v>
      </c>
      <c r="J146" s="44" t="s">
        <v>560</v>
      </c>
      <c r="K146" s="44" t="s">
        <v>885</v>
      </c>
      <c r="L146" s="44" t="s">
        <v>794</v>
      </c>
      <c r="M146" s="44" t="s">
        <v>839</v>
      </c>
      <c r="N146" s="44" t="s">
        <v>684</v>
      </c>
      <c r="O146" s="44" t="s">
        <v>753</v>
      </c>
    </row>
    <row r="147" spans="1:16" s="45" customFormat="1">
      <c r="A147" s="44" t="s">
        <v>559</v>
      </c>
      <c r="B147" s="44" t="s">
        <v>202</v>
      </c>
      <c r="C147" s="44">
        <v>0</v>
      </c>
      <c r="D147" s="44">
        <v>1</v>
      </c>
      <c r="E147" s="44">
        <v>0</v>
      </c>
      <c r="F147" s="44">
        <v>0</v>
      </c>
      <c r="G147" s="44">
        <v>1</v>
      </c>
      <c r="H147" s="44">
        <v>1</v>
      </c>
      <c r="I147" s="44" t="s">
        <v>570</v>
      </c>
      <c r="J147" s="44" t="s">
        <v>560</v>
      </c>
      <c r="K147" s="44" t="s">
        <v>886</v>
      </c>
      <c r="L147" s="44" t="s">
        <v>695</v>
      </c>
      <c r="M147" s="44" t="s">
        <v>839</v>
      </c>
      <c r="N147" s="44" t="s">
        <v>684</v>
      </c>
      <c r="O147" s="44" t="s">
        <v>847</v>
      </c>
    </row>
    <row r="148" spans="1:16" s="45" customFormat="1">
      <c r="A148" s="44" t="s">
        <v>559</v>
      </c>
      <c r="B148" s="44" t="s">
        <v>202</v>
      </c>
      <c r="C148" s="44">
        <v>0</v>
      </c>
      <c r="D148" s="44">
        <v>1</v>
      </c>
      <c r="E148" s="44">
        <v>0</v>
      </c>
      <c r="F148" s="44">
        <v>0</v>
      </c>
      <c r="G148" s="44">
        <v>1</v>
      </c>
      <c r="H148" s="44">
        <v>1</v>
      </c>
      <c r="I148" s="44" t="s">
        <v>559</v>
      </c>
      <c r="J148" s="44" t="s">
        <v>560</v>
      </c>
      <c r="K148" s="44" t="s">
        <v>887</v>
      </c>
      <c r="L148" s="44" t="s">
        <v>888</v>
      </c>
      <c r="M148" s="44" t="s">
        <v>839</v>
      </c>
      <c r="N148" s="44" t="s">
        <v>684</v>
      </c>
      <c r="O148" s="44" t="s">
        <v>753</v>
      </c>
    </row>
    <row r="149" spans="1:16" s="45" customFormat="1">
      <c r="A149" s="44" t="s">
        <v>559</v>
      </c>
      <c r="B149" s="44" t="s">
        <v>202</v>
      </c>
      <c r="C149" s="44">
        <v>0</v>
      </c>
      <c r="D149" s="44">
        <v>1</v>
      </c>
      <c r="E149" s="44">
        <v>0</v>
      </c>
      <c r="F149" s="44">
        <v>0</v>
      </c>
      <c r="G149" s="44">
        <v>1</v>
      </c>
      <c r="H149" s="44">
        <v>1</v>
      </c>
      <c r="I149" s="44" t="s">
        <v>568</v>
      </c>
      <c r="J149" s="44" t="s">
        <v>560</v>
      </c>
      <c r="K149" s="44" t="s">
        <v>889</v>
      </c>
      <c r="L149" s="44" t="s">
        <v>695</v>
      </c>
      <c r="M149" s="44" t="s">
        <v>839</v>
      </c>
      <c r="N149" s="44" t="s">
        <v>684</v>
      </c>
      <c r="O149" s="44" t="s">
        <v>753</v>
      </c>
    </row>
    <row r="150" spans="1:16" s="45" customFormat="1">
      <c r="A150" s="44" t="s">
        <v>516</v>
      </c>
      <c r="B150" s="44" t="s">
        <v>168</v>
      </c>
      <c r="C150" s="44">
        <v>1</v>
      </c>
      <c r="D150" s="44">
        <v>0</v>
      </c>
      <c r="E150" s="44">
        <v>0</v>
      </c>
      <c r="F150" s="44">
        <v>1</v>
      </c>
      <c r="G150" s="44">
        <v>1</v>
      </c>
      <c r="H150" s="44">
        <v>1</v>
      </c>
      <c r="I150" s="44" t="s">
        <v>516</v>
      </c>
      <c r="J150" s="44" t="s">
        <v>730</v>
      </c>
      <c r="K150" s="44" t="s">
        <v>890</v>
      </c>
      <c r="L150" s="44" t="s">
        <v>718</v>
      </c>
      <c r="M150" s="44" t="s">
        <v>839</v>
      </c>
      <c r="N150" s="44" t="s">
        <v>698</v>
      </c>
      <c r="O150" s="44" t="s">
        <v>753</v>
      </c>
    </row>
    <row r="151" spans="1:16" s="45" customFormat="1">
      <c r="A151" s="44" t="s">
        <v>516</v>
      </c>
      <c r="B151" s="44" t="s">
        <v>168</v>
      </c>
      <c r="C151" s="44">
        <v>1</v>
      </c>
      <c r="D151" s="44">
        <v>0</v>
      </c>
      <c r="E151" s="44">
        <v>0</v>
      </c>
      <c r="F151" s="44">
        <v>1</v>
      </c>
      <c r="G151" s="44">
        <v>1</v>
      </c>
      <c r="H151" s="44">
        <v>1</v>
      </c>
      <c r="I151" s="44" t="s">
        <v>516</v>
      </c>
      <c r="J151" s="44" t="s">
        <v>730</v>
      </c>
      <c r="K151" s="44" t="s">
        <v>891</v>
      </c>
      <c r="L151" s="44" t="s">
        <v>841</v>
      </c>
      <c r="M151" s="44" t="s">
        <v>839</v>
      </c>
      <c r="N151" s="44" t="s">
        <v>705</v>
      </c>
      <c r="O151" s="44" t="s">
        <v>693</v>
      </c>
    </row>
    <row r="152" spans="1:16" s="45" customFormat="1">
      <c r="A152" s="44" t="s">
        <v>516</v>
      </c>
      <c r="B152" s="44" t="s">
        <v>168</v>
      </c>
      <c r="C152" s="44">
        <v>1</v>
      </c>
      <c r="D152" s="44">
        <v>0</v>
      </c>
      <c r="E152" s="44">
        <v>0</v>
      </c>
      <c r="F152" s="44">
        <v>1</v>
      </c>
      <c r="G152" s="44">
        <v>1</v>
      </c>
      <c r="H152" s="44">
        <v>1</v>
      </c>
      <c r="I152" s="44" t="s">
        <v>533</v>
      </c>
      <c r="J152" s="44" t="s">
        <v>730</v>
      </c>
      <c r="K152" s="44" t="s">
        <v>892</v>
      </c>
      <c r="L152" s="44" t="s">
        <v>763</v>
      </c>
      <c r="M152" s="44" t="s">
        <v>839</v>
      </c>
      <c r="N152" s="44" t="s">
        <v>705</v>
      </c>
      <c r="O152" s="44" t="s">
        <v>753</v>
      </c>
    </row>
    <row r="153" spans="1:16" s="45" customFormat="1">
      <c r="A153" s="44" t="s">
        <v>516</v>
      </c>
      <c r="B153" s="44" t="s">
        <v>168</v>
      </c>
      <c r="C153" s="44">
        <v>1</v>
      </c>
      <c r="D153" s="44">
        <v>0</v>
      </c>
      <c r="E153" s="44">
        <v>0</v>
      </c>
      <c r="F153" s="44">
        <v>1</v>
      </c>
      <c r="G153" s="44">
        <v>1</v>
      </c>
      <c r="H153" s="44">
        <v>1</v>
      </c>
      <c r="I153" s="44" t="s">
        <v>527</v>
      </c>
      <c r="J153" s="44" t="s">
        <v>730</v>
      </c>
      <c r="K153" s="44" t="s">
        <v>893</v>
      </c>
      <c r="L153" s="44" t="s">
        <v>704</v>
      </c>
      <c r="M153" s="44" t="s">
        <v>839</v>
      </c>
      <c r="N153" s="44" t="s">
        <v>684</v>
      </c>
      <c r="O153" s="44" t="s">
        <v>725</v>
      </c>
    </row>
    <row r="154" spans="1:16" s="45" customFormat="1">
      <c r="A154" s="44" t="s">
        <v>894</v>
      </c>
      <c r="B154" s="44" t="s">
        <v>202</v>
      </c>
      <c r="C154" s="44">
        <v>1</v>
      </c>
      <c r="D154" s="44">
        <v>0</v>
      </c>
      <c r="E154" s="44">
        <v>1</v>
      </c>
      <c r="F154" s="44">
        <v>1</v>
      </c>
      <c r="G154" s="44">
        <v>1</v>
      </c>
      <c r="H154" s="44">
        <v>0</v>
      </c>
      <c r="I154" s="44" t="s">
        <v>527</v>
      </c>
      <c r="J154" s="44" t="s">
        <v>737</v>
      </c>
      <c r="K154" s="44" t="s">
        <v>895</v>
      </c>
      <c r="L154" s="44" t="s">
        <v>746</v>
      </c>
      <c r="M154" s="44" t="s">
        <v>839</v>
      </c>
      <c r="N154" s="44" t="s">
        <v>846</v>
      </c>
      <c r="O154" s="44" t="s">
        <v>896</v>
      </c>
    </row>
    <row r="155" spans="1:16" s="45" customFormat="1">
      <c r="A155" s="44" t="s">
        <v>894</v>
      </c>
      <c r="B155" s="44" t="s">
        <v>202</v>
      </c>
      <c r="C155" s="44">
        <v>1</v>
      </c>
      <c r="D155" s="44">
        <v>0</v>
      </c>
      <c r="E155" s="44">
        <v>1</v>
      </c>
      <c r="F155" s="44">
        <v>1</v>
      </c>
      <c r="G155" s="44">
        <v>1</v>
      </c>
      <c r="H155" s="44">
        <v>0</v>
      </c>
      <c r="I155" s="44" t="s">
        <v>894</v>
      </c>
      <c r="J155" s="44" t="s">
        <v>737</v>
      </c>
      <c r="K155" s="44" t="s">
        <v>897</v>
      </c>
      <c r="L155" s="44" t="s">
        <v>688</v>
      </c>
      <c r="M155" s="44" t="s">
        <v>839</v>
      </c>
      <c r="N155" s="44" t="s">
        <v>702</v>
      </c>
      <c r="O155" s="44" t="s">
        <v>753</v>
      </c>
    </row>
    <row r="156" spans="1:16" s="45" customFormat="1">
      <c r="A156" s="44" t="s">
        <v>894</v>
      </c>
      <c r="B156" s="44" t="s">
        <v>202</v>
      </c>
      <c r="C156" s="44">
        <v>1</v>
      </c>
      <c r="D156" s="44">
        <v>0</v>
      </c>
      <c r="E156" s="44">
        <v>1</v>
      </c>
      <c r="F156" s="44">
        <v>1</v>
      </c>
      <c r="G156" s="44">
        <v>1</v>
      </c>
      <c r="H156" s="44">
        <v>0</v>
      </c>
      <c r="I156" s="44" t="s">
        <v>894</v>
      </c>
      <c r="J156" s="44" t="s">
        <v>737</v>
      </c>
      <c r="K156" s="44" t="s">
        <v>898</v>
      </c>
      <c r="L156" s="44" t="s">
        <v>716</v>
      </c>
      <c r="M156" s="44" t="s">
        <v>839</v>
      </c>
      <c r="N156" s="44" t="s">
        <v>705</v>
      </c>
      <c r="O156" s="44" t="s">
        <v>725</v>
      </c>
    </row>
    <row r="157" spans="1:16" s="45" customFormat="1">
      <c r="A157" s="44" t="s">
        <v>894</v>
      </c>
      <c r="B157" s="44" t="s">
        <v>202</v>
      </c>
      <c r="C157" s="44">
        <v>1</v>
      </c>
      <c r="D157" s="44">
        <v>0</v>
      </c>
      <c r="E157" s="44">
        <v>1</v>
      </c>
      <c r="F157" s="44">
        <v>1</v>
      </c>
      <c r="G157" s="44">
        <v>1</v>
      </c>
      <c r="H157" s="44">
        <v>0</v>
      </c>
      <c r="I157" s="44" t="s">
        <v>894</v>
      </c>
      <c r="J157" s="44" t="s">
        <v>737</v>
      </c>
      <c r="K157" s="44" t="s">
        <v>899</v>
      </c>
      <c r="L157" s="44" t="s">
        <v>827</v>
      </c>
      <c r="M157" s="44" t="s">
        <v>839</v>
      </c>
      <c r="N157" s="44" t="s">
        <v>702</v>
      </c>
      <c r="O157" s="44" t="s">
        <v>710</v>
      </c>
      <c r="P157" s="45" t="s">
        <v>900</v>
      </c>
    </row>
    <row r="158" spans="1:16" s="45" customFormat="1">
      <c r="A158" s="44" t="s">
        <v>901</v>
      </c>
      <c r="B158" s="44" t="s">
        <v>256</v>
      </c>
      <c r="C158" s="44">
        <v>1</v>
      </c>
      <c r="D158" s="44">
        <v>0</v>
      </c>
      <c r="E158" s="44">
        <v>1</v>
      </c>
      <c r="F158" s="44">
        <v>1</v>
      </c>
      <c r="G158" s="44">
        <v>0</v>
      </c>
      <c r="H158" s="44">
        <v>0</v>
      </c>
      <c r="I158" s="44" t="s">
        <v>901</v>
      </c>
      <c r="J158" s="44" t="s">
        <v>618</v>
      </c>
      <c r="K158" s="44" t="s">
        <v>902</v>
      </c>
      <c r="L158" s="44" t="s">
        <v>707</v>
      </c>
      <c r="M158" s="44" t="s">
        <v>839</v>
      </c>
      <c r="N158" s="44" t="s">
        <v>684</v>
      </c>
      <c r="O158" s="44" t="s">
        <v>685</v>
      </c>
    </row>
    <row r="159" spans="1:16" s="45" customFormat="1">
      <c r="A159" s="44" t="s">
        <v>901</v>
      </c>
      <c r="B159" s="44" t="s">
        <v>256</v>
      </c>
      <c r="C159" s="44">
        <v>1</v>
      </c>
      <c r="D159" s="44">
        <v>0</v>
      </c>
      <c r="E159" s="44">
        <v>1</v>
      </c>
      <c r="F159" s="44">
        <v>1</v>
      </c>
      <c r="G159" s="44">
        <v>0</v>
      </c>
      <c r="H159" s="44">
        <v>0</v>
      </c>
      <c r="I159" s="44" t="s">
        <v>901</v>
      </c>
      <c r="J159" s="44" t="s">
        <v>618</v>
      </c>
      <c r="K159" s="44" t="s">
        <v>903</v>
      </c>
      <c r="L159" s="44" t="s">
        <v>720</v>
      </c>
      <c r="M159" s="44" t="s">
        <v>839</v>
      </c>
      <c r="N159" s="44" t="s">
        <v>684</v>
      </c>
      <c r="O159" s="44" t="s">
        <v>685</v>
      </c>
    </row>
    <row r="160" spans="1:16" s="45" customFormat="1">
      <c r="A160" s="44" t="s">
        <v>901</v>
      </c>
      <c r="B160" s="44" t="s">
        <v>256</v>
      </c>
      <c r="C160" s="44">
        <v>1</v>
      </c>
      <c r="D160" s="44">
        <v>0</v>
      </c>
      <c r="E160" s="44">
        <v>1</v>
      </c>
      <c r="F160" s="44">
        <v>1</v>
      </c>
      <c r="G160" s="44">
        <v>0</v>
      </c>
      <c r="H160" s="44">
        <v>0</v>
      </c>
      <c r="I160" s="44" t="s">
        <v>901</v>
      </c>
      <c r="J160" s="44" t="s">
        <v>618</v>
      </c>
      <c r="K160" s="44" t="s">
        <v>904</v>
      </c>
      <c r="L160" s="44" t="s">
        <v>720</v>
      </c>
      <c r="M160" s="44" t="s">
        <v>839</v>
      </c>
      <c r="N160" s="44" t="s">
        <v>702</v>
      </c>
      <c r="O160" s="44" t="s">
        <v>710</v>
      </c>
      <c r="P160" s="45" t="s">
        <v>900</v>
      </c>
    </row>
    <row r="161" spans="1:16" s="45" customFormat="1">
      <c r="A161" s="44" t="s">
        <v>901</v>
      </c>
      <c r="B161" s="44" t="s">
        <v>256</v>
      </c>
      <c r="C161" s="44">
        <v>1</v>
      </c>
      <c r="D161" s="44">
        <v>0</v>
      </c>
      <c r="E161" s="44">
        <v>1</v>
      </c>
      <c r="F161" s="44">
        <v>1</v>
      </c>
      <c r="G161" s="44">
        <v>0</v>
      </c>
      <c r="H161" s="44">
        <v>0</v>
      </c>
      <c r="I161" s="44" t="s">
        <v>618</v>
      </c>
      <c r="J161" s="44" t="s">
        <v>618</v>
      </c>
      <c r="K161" s="44" t="s">
        <v>905</v>
      </c>
      <c r="L161" s="44" t="s">
        <v>733</v>
      </c>
      <c r="M161" s="44" t="s">
        <v>839</v>
      </c>
      <c r="N161" s="44" t="s">
        <v>702</v>
      </c>
      <c r="O161" s="44" t="s">
        <v>725</v>
      </c>
    </row>
    <row r="162" spans="1:16" s="45" customFormat="1">
      <c r="A162" s="44" t="s">
        <v>624</v>
      </c>
      <c r="B162" s="44" t="s">
        <v>256</v>
      </c>
      <c r="C162" s="44">
        <v>1</v>
      </c>
      <c r="D162" s="44">
        <v>0</v>
      </c>
      <c r="E162" s="44">
        <v>1</v>
      </c>
      <c r="F162" s="44">
        <v>1</v>
      </c>
      <c r="G162" s="44">
        <v>1</v>
      </c>
      <c r="H162" s="44">
        <v>1</v>
      </c>
      <c r="I162" s="44" t="s">
        <v>605</v>
      </c>
      <c r="J162" s="44" t="s">
        <v>618</v>
      </c>
      <c r="K162" s="44" t="s">
        <v>906</v>
      </c>
      <c r="L162" s="44" t="s">
        <v>697</v>
      </c>
      <c r="M162" s="44" t="s">
        <v>839</v>
      </c>
      <c r="N162" s="44" t="s">
        <v>684</v>
      </c>
      <c r="O162" s="44" t="s">
        <v>685</v>
      </c>
    </row>
    <row r="163" spans="1:16" s="45" customFormat="1">
      <c r="A163" s="44" t="s">
        <v>624</v>
      </c>
      <c r="B163" s="44" t="s">
        <v>256</v>
      </c>
      <c r="C163" s="44">
        <v>1</v>
      </c>
      <c r="D163" s="44">
        <v>0</v>
      </c>
      <c r="E163" s="44">
        <v>1</v>
      </c>
      <c r="F163" s="44">
        <v>1</v>
      </c>
      <c r="G163" s="44">
        <v>1</v>
      </c>
      <c r="H163" s="44">
        <v>1</v>
      </c>
      <c r="I163" s="44" t="s">
        <v>624</v>
      </c>
      <c r="J163" s="44" t="s">
        <v>659</v>
      </c>
      <c r="K163" s="44" t="s">
        <v>907</v>
      </c>
      <c r="L163" s="44" t="s">
        <v>761</v>
      </c>
      <c r="M163" s="44" t="s">
        <v>839</v>
      </c>
      <c r="N163" s="44" t="s">
        <v>684</v>
      </c>
      <c r="O163" s="44" t="s">
        <v>753</v>
      </c>
    </row>
    <row r="164" spans="1:16" s="45" customFormat="1">
      <c r="A164" s="44" t="s">
        <v>624</v>
      </c>
      <c r="B164" s="44" t="s">
        <v>256</v>
      </c>
      <c r="C164" s="44">
        <v>1</v>
      </c>
      <c r="D164" s="44">
        <v>0</v>
      </c>
      <c r="E164" s="44">
        <v>1</v>
      </c>
      <c r="F164" s="44">
        <v>1</v>
      </c>
      <c r="G164" s="44">
        <v>1</v>
      </c>
      <c r="H164" s="44">
        <v>1</v>
      </c>
      <c r="I164" s="44" t="s">
        <v>624</v>
      </c>
      <c r="J164" s="44" t="s">
        <v>659</v>
      </c>
      <c r="K164" s="44" t="s">
        <v>908</v>
      </c>
      <c r="L164" s="44" t="s">
        <v>746</v>
      </c>
      <c r="M164" s="44" t="s">
        <v>839</v>
      </c>
      <c r="N164" s="44" t="s">
        <v>705</v>
      </c>
      <c r="O164" s="44" t="s">
        <v>710</v>
      </c>
      <c r="P164" s="45" t="s">
        <v>900</v>
      </c>
    </row>
    <row r="165" spans="1:16" s="45" customFormat="1">
      <c r="A165" s="44" t="s">
        <v>624</v>
      </c>
      <c r="B165" s="44" t="s">
        <v>256</v>
      </c>
      <c r="C165" s="44">
        <v>1</v>
      </c>
      <c r="D165" s="44">
        <v>0</v>
      </c>
      <c r="E165" s="44">
        <v>1</v>
      </c>
      <c r="F165" s="44">
        <v>1</v>
      </c>
      <c r="G165" s="44">
        <v>1</v>
      </c>
      <c r="H165" s="44">
        <v>1</v>
      </c>
      <c r="I165" s="44" t="s">
        <v>624</v>
      </c>
      <c r="J165" s="44" t="s">
        <v>659</v>
      </c>
      <c r="K165" s="44" t="s">
        <v>909</v>
      </c>
      <c r="L165" s="44" t="s">
        <v>910</v>
      </c>
      <c r="M165" s="44" t="s">
        <v>839</v>
      </c>
      <c r="N165" s="44" t="s">
        <v>684</v>
      </c>
      <c r="O165" s="44" t="s">
        <v>725</v>
      </c>
    </row>
    <row r="166" spans="1:16" s="45" customFormat="1">
      <c r="A166" s="44" t="s">
        <v>553</v>
      </c>
      <c r="B166" s="44" t="s">
        <v>202</v>
      </c>
      <c r="C166" s="44">
        <v>1</v>
      </c>
      <c r="D166" s="44">
        <v>1</v>
      </c>
      <c r="E166" s="44">
        <v>0</v>
      </c>
      <c r="F166" s="44">
        <v>0</v>
      </c>
      <c r="G166" s="44">
        <v>1</v>
      </c>
      <c r="H166" s="44">
        <v>1</v>
      </c>
      <c r="I166" s="44" t="s">
        <v>553</v>
      </c>
      <c r="J166" s="44" t="s">
        <v>654</v>
      </c>
      <c r="K166" s="44" t="s">
        <v>911</v>
      </c>
      <c r="L166" s="44" t="s">
        <v>718</v>
      </c>
      <c r="M166" s="44" t="s">
        <v>839</v>
      </c>
      <c r="N166" s="44" t="s">
        <v>710</v>
      </c>
      <c r="O166" s="44" t="s">
        <v>710</v>
      </c>
      <c r="P166" s="45" t="s">
        <v>912</v>
      </c>
    </row>
    <row r="167" spans="1:16" s="45" customFormat="1">
      <c r="A167" s="44" t="s">
        <v>553</v>
      </c>
      <c r="B167" s="44" t="s">
        <v>202</v>
      </c>
      <c r="C167" s="44">
        <v>1</v>
      </c>
      <c r="D167" s="44">
        <v>1</v>
      </c>
      <c r="E167" s="44">
        <v>0</v>
      </c>
      <c r="F167" s="44">
        <v>0</v>
      </c>
      <c r="G167" s="44">
        <v>1</v>
      </c>
      <c r="H167" s="44">
        <v>1</v>
      </c>
      <c r="I167" s="44" t="s">
        <v>553</v>
      </c>
      <c r="J167" s="44" t="s">
        <v>730</v>
      </c>
      <c r="K167" s="44" t="s">
        <v>913</v>
      </c>
      <c r="L167" s="44" t="s">
        <v>709</v>
      </c>
      <c r="M167" s="44" t="s">
        <v>839</v>
      </c>
      <c r="N167" s="44" t="s">
        <v>710</v>
      </c>
      <c r="O167" s="44" t="s">
        <v>710</v>
      </c>
      <c r="P167" s="45" t="s">
        <v>914</v>
      </c>
    </row>
    <row r="168" spans="1:16" s="45" customFormat="1">
      <c r="A168" s="44" t="s">
        <v>553</v>
      </c>
      <c r="B168" s="44" t="s">
        <v>202</v>
      </c>
      <c r="C168" s="44">
        <v>1</v>
      </c>
      <c r="D168" s="44">
        <v>1</v>
      </c>
      <c r="E168" s="44">
        <v>0</v>
      </c>
      <c r="F168" s="44">
        <v>0</v>
      </c>
      <c r="G168" s="44">
        <v>1</v>
      </c>
      <c r="H168" s="44">
        <v>1</v>
      </c>
      <c r="I168" s="44" t="s">
        <v>553</v>
      </c>
      <c r="J168" s="44" t="s">
        <v>730</v>
      </c>
      <c r="K168" s="44" t="s">
        <v>915</v>
      </c>
      <c r="L168" s="44" t="s">
        <v>709</v>
      </c>
      <c r="M168" s="44" t="s">
        <v>839</v>
      </c>
      <c r="N168" s="44" t="s">
        <v>710</v>
      </c>
      <c r="O168" s="44" t="s">
        <v>710</v>
      </c>
    </row>
    <row r="169" spans="1:16" s="45" customFormat="1">
      <c r="A169" s="44" t="s">
        <v>553</v>
      </c>
      <c r="B169" s="44" t="s">
        <v>202</v>
      </c>
      <c r="C169" s="44">
        <v>1</v>
      </c>
      <c r="D169" s="44">
        <v>1</v>
      </c>
      <c r="E169" s="44">
        <v>0</v>
      </c>
      <c r="F169" s="44">
        <v>0</v>
      </c>
      <c r="G169" s="44">
        <v>1</v>
      </c>
      <c r="H169" s="44">
        <v>1</v>
      </c>
      <c r="I169" s="44" t="s">
        <v>553</v>
      </c>
      <c r="J169" s="44" t="s">
        <v>654</v>
      </c>
      <c r="K169" s="44" t="s">
        <v>916</v>
      </c>
      <c r="L169" s="44" t="s">
        <v>917</v>
      </c>
      <c r="M169" s="44" t="s">
        <v>839</v>
      </c>
      <c r="N169" s="44" t="s">
        <v>710</v>
      </c>
      <c r="O169" s="44" t="s">
        <v>710</v>
      </c>
    </row>
    <row r="170" spans="1:16" s="45" customFormat="1">
      <c r="A170" s="44" t="s">
        <v>527</v>
      </c>
      <c r="B170" s="44" t="s">
        <v>202</v>
      </c>
      <c r="C170" s="44">
        <v>1</v>
      </c>
      <c r="D170" s="44">
        <v>0</v>
      </c>
      <c r="E170" s="44">
        <v>0</v>
      </c>
      <c r="F170" s="44">
        <v>1</v>
      </c>
      <c r="G170" s="44">
        <v>1</v>
      </c>
      <c r="H170" s="44">
        <v>0</v>
      </c>
      <c r="I170" s="44" t="s">
        <v>527</v>
      </c>
      <c r="J170" s="44" t="s">
        <v>730</v>
      </c>
      <c r="K170" s="44" t="s">
        <v>918</v>
      </c>
      <c r="L170" s="44" t="s">
        <v>697</v>
      </c>
      <c r="M170" s="44" t="s">
        <v>839</v>
      </c>
      <c r="N170" s="44" t="s">
        <v>684</v>
      </c>
      <c r="O170" s="44" t="s">
        <v>710</v>
      </c>
      <c r="P170" s="45" t="s">
        <v>900</v>
      </c>
    </row>
    <row r="171" spans="1:16" s="45" customFormat="1">
      <c r="A171" s="44" t="s">
        <v>527</v>
      </c>
      <c r="B171" s="44" t="s">
        <v>202</v>
      </c>
      <c r="C171" s="44">
        <v>1</v>
      </c>
      <c r="D171" s="44">
        <v>0</v>
      </c>
      <c r="E171" s="44">
        <v>0</v>
      </c>
      <c r="F171" s="44">
        <v>1</v>
      </c>
      <c r="G171" s="44">
        <v>1</v>
      </c>
      <c r="H171" s="44">
        <v>0</v>
      </c>
      <c r="I171" s="44" t="s">
        <v>527</v>
      </c>
      <c r="J171" s="44" t="s">
        <v>737</v>
      </c>
      <c r="K171" s="44" t="s">
        <v>919</v>
      </c>
      <c r="L171" s="44" t="s">
        <v>718</v>
      </c>
      <c r="M171" s="44" t="s">
        <v>839</v>
      </c>
      <c r="N171" s="44" t="s">
        <v>846</v>
      </c>
      <c r="O171" s="44" t="s">
        <v>685</v>
      </c>
    </row>
    <row r="172" spans="1:16" s="45" customFormat="1">
      <c r="A172" s="44" t="s">
        <v>527</v>
      </c>
      <c r="B172" s="44" t="s">
        <v>202</v>
      </c>
      <c r="C172" s="44">
        <v>1</v>
      </c>
      <c r="D172" s="44">
        <v>0</v>
      </c>
      <c r="E172" s="44">
        <v>0</v>
      </c>
      <c r="F172" s="44">
        <v>1</v>
      </c>
      <c r="G172" s="44">
        <v>1</v>
      </c>
      <c r="H172" s="44">
        <v>0</v>
      </c>
      <c r="I172" s="44" t="s">
        <v>527</v>
      </c>
      <c r="J172" s="44" t="s">
        <v>737</v>
      </c>
      <c r="K172" s="44" t="s">
        <v>920</v>
      </c>
      <c r="L172" s="44" t="s">
        <v>921</v>
      </c>
      <c r="M172" s="44" t="s">
        <v>839</v>
      </c>
      <c r="N172" s="44" t="s">
        <v>846</v>
      </c>
      <c r="O172" s="44" t="s">
        <v>693</v>
      </c>
    </row>
    <row r="173" spans="1:16" s="45" customFormat="1">
      <c r="A173" s="44" t="s">
        <v>527</v>
      </c>
      <c r="B173" s="44" t="s">
        <v>202</v>
      </c>
      <c r="C173" s="44">
        <v>1</v>
      </c>
      <c r="D173" s="44">
        <v>0</v>
      </c>
      <c r="E173" s="44">
        <v>0</v>
      </c>
      <c r="F173" s="44">
        <v>1</v>
      </c>
      <c r="G173" s="44">
        <v>1</v>
      </c>
      <c r="H173" s="44">
        <v>0</v>
      </c>
      <c r="I173" s="44" t="s">
        <v>527</v>
      </c>
      <c r="J173" s="44" t="s">
        <v>737</v>
      </c>
      <c r="K173" s="44" t="s">
        <v>922</v>
      </c>
      <c r="L173" s="44" t="s">
        <v>707</v>
      </c>
      <c r="M173" s="44" t="s">
        <v>839</v>
      </c>
      <c r="N173" s="44" t="s">
        <v>698</v>
      </c>
      <c r="O173" s="44" t="s">
        <v>710</v>
      </c>
    </row>
    <row r="174" spans="1:16" s="45" customFormat="1">
      <c r="A174" s="44" t="s">
        <v>511</v>
      </c>
      <c r="B174" s="44" t="s">
        <v>202</v>
      </c>
      <c r="C174" s="44">
        <v>1</v>
      </c>
      <c r="D174" s="44">
        <v>1</v>
      </c>
      <c r="E174" s="44">
        <v>1</v>
      </c>
      <c r="F174" s="44">
        <v>1</v>
      </c>
      <c r="G174" s="44">
        <v>0</v>
      </c>
      <c r="H174" s="44">
        <v>1</v>
      </c>
      <c r="I174" s="44" t="s">
        <v>511</v>
      </c>
      <c r="J174" s="44" t="s">
        <v>654</v>
      </c>
      <c r="K174" s="44" t="s">
        <v>923</v>
      </c>
      <c r="L174" s="44" t="s">
        <v>707</v>
      </c>
      <c r="M174" s="44" t="s">
        <v>839</v>
      </c>
      <c r="N174" s="44" t="s">
        <v>702</v>
      </c>
      <c r="O174" s="44" t="s">
        <v>685</v>
      </c>
    </row>
    <row r="175" spans="1:16" s="45" customFormat="1">
      <c r="A175" s="44" t="s">
        <v>511</v>
      </c>
      <c r="B175" s="44" t="s">
        <v>202</v>
      </c>
      <c r="C175" s="44">
        <v>1</v>
      </c>
      <c r="D175" s="44">
        <v>1</v>
      </c>
      <c r="E175" s="44">
        <v>1</v>
      </c>
      <c r="F175" s="44">
        <v>1</v>
      </c>
      <c r="G175" s="44">
        <v>0</v>
      </c>
      <c r="H175" s="44">
        <v>1</v>
      </c>
      <c r="I175" s="44" t="s">
        <v>511</v>
      </c>
      <c r="J175" s="44" t="s">
        <v>654</v>
      </c>
      <c r="K175" s="44" t="s">
        <v>924</v>
      </c>
      <c r="L175" s="44" t="s">
        <v>838</v>
      </c>
      <c r="M175" s="44" t="s">
        <v>839</v>
      </c>
      <c r="N175" s="44" t="s">
        <v>702</v>
      </c>
      <c r="O175" s="44" t="s">
        <v>685</v>
      </c>
    </row>
    <row r="176" spans="1:16" s="45" customFormat="1">
      <c r="A176" s="44" t="s">
        <v>511</v>
      </c>
      <c r="B176" s="44" t="s">
        <v>202</v>
      </c>
      <c r="C176" s="44">
        <v>1</v>
      </c>
      <c r="D176" s="44">
        <v>1</v>
      </c>
      <c r="E176" s="44">
        <v>1</v>
      </c>
      <c r="F176" s="44">
        <v>1</v>
      </c>
      <c r="G176" s="44">
        <v>0</v>
      </c>
      <c r="H176" s="44">
        <v>1</v>
      </c>
      <c r="I176" s="44" t="s">
        <v>533</v>
      </c>
      <c r="J176" s="44" t="s">
        <v>737</v>
      </c>
      <c r="K176" s="44" t="s">
        <v>925</v>
      </c>
      <c r="L176" s="44" t="s">
        <v>707</v>
      </c>
      <c r="M176" s="44" t="s">
        <v>839</v>
      </c>
      <c r="N176" s="44" t="s">
        <v>684</v>
      </c>
      <c r="O176" s="44" t="s">
        <v>753</v>
      </c>
    </row>
    <row r="177" spans="1:15" s="45" customFormat="1">
      <c r="A177" s="44" t="s">
        <v>511</v>
      </c>
      <c r="B177" s="44" t="s">
        <v>202</v>
      </c>
      <c r="C177" s="44">
        <v>1</v>
      </c>
      <c r="D177" s="44">
        <v>1</v>
      </c>
      <c r="E177" s="44">
        <v>1</v>
      </c>
      <c r="F177" s="44">
        <v>1</v>
      </c>
      <c r="G177" s="44">
        <v>0</v>
      </c>
      <c r="H177" s="44">
        <v>1</v>
      </c>
      <c r="I177" s="44" t="s">
        <v>511</v>
      </c>
      <c r="J177" s="44" t="s">
        <v>730</v>
      </c>
      <c r="K177" s="44" t="s">
        <v>923</v>
      </c>
      <c r="L177" s="44" t="s">
        <v>707</v>
      </c>
      <c r="M177" s="44" t="s">
        <v>839</v>
      </c>
      <c r="N177" s="44" t="s">
        <v>702</v>
      </c>
      <c r="O177" s="44" t="s">
        <v>685</v>
      </c>
    </row>
    <row r="178" spans="1:15" s="45" customFormat="1">
      <c r="A178" s="44" t="s">
        <v>630</v>
      </c>
      <c r="B178" s="44" t="s">
        <v>256</v>
      </c>
      <c r="C178" s="44">
        <v>0</v>
      </c>
      <c r="D178" s="44">
        <v>0</v>
      </c>
      <c r="E178" s="44">
        <v>0</v>
      </c>
      <c r="F178" s="44">
        <v>1</v>
      </c>
      <c r="G178" s="44">
        <v>1</v>
      </c>
      <c r="H178" s="44">
        <v>1</v>
      </c>
      <c r="I178" s="44" t="s">
        <v>770</v>
      </c>
      <c r="J178" s="44" t="s">
        <v>730</v>
      </c>
      <c r="K178" s="44" t="s">
        <v>926</v>
      </c>
      <c r="L178" s="44" t="s">
        <v>927</v>
      </c>
      <c r="M178" s="44" t="s">
        <v>839</v>
      </c>
      <c r="N178" s="44" t="s">
        <v>684</v>
      </c>
      <c r="O178" s="44" t="s">
        <v>753</v>
      </c>
    </row>
    <row r="179" spans="1:15" s="45" customFormat="1">
      <c r="A179" s="44" t="s">
        <v>630</v>
      </c>
      <c r="B179" s="44" t="s">
        <v>256</v>
      </c>
      <c r="C179" s="44">
        <v>0</v>
      </c>
      <c r="D179" s="44">
        <v>0</v>
      </c>
      <c r="E179" s="44">
        <v>0</v>
      </c>
      <c r="F179" s="44">
        <v>1</v>
      </c>
      <c r="G179" s="44">
        <v>1</v>
      </c>
      <c r="H179" s="44">
        <v>1</v>
      </c>
      <c r="I179" s="44" t="s">
        <v>630</v>
      </c>
      <c r="J179" s="44" t="s">
        <v>659</v>
      </c>
      <c r="K179" s="44" t="s">
        <v>928</v>
      </c>
      <c r="L179" s="44" t="s">
        <v>794</v>
      </c>
      <c r="M179" s="44" t="s">
        <v>839</v>
      </c>
      <c r="N179" s="44" t="s">
        <v>698</v>
      </c>
      <c r="O179" s="44" t="s">
        <v>847</v>
      </c>
    </row>
    <row r="180" spans="1:15" s="45" customFormat="1">
      <c r="A180" s="44" t="s">
        <v>630</v>
      </c>
      <c r="B180" s="44" t="s">
        <v>256</v>
      </c>
      <c r="C180" s="44">
        <v>0</v>
      </c>
      <c r="D180" s="44">
        <v>0</v>
      </c>
      <c r="E180" s="44">
        <v>0</v>
      </c>
      <c r="F180" s="44">
        <v>1</v>
      </c>
      <c r="G180" s="44">
        <v>1</v>
      </c>
      <c r="H180" s="44">
        <v>1</v>
      </c>
      <c r="I180" s="44" t="s">
        <v>630</v>
      </c>
      <c r="J180" s="44" t="s">
        <v>659</v>
      </c>
      <c r="K180" s="44" t="s">
        <v>929</v>
      </c>
      <c r="L180" s="44" t="s">
        <v>716</v>
      </c>
      <c r="M180" s="44" t="s">
        <v>839</v>
      </c>
      <c r="N180" s="44" t="s">
        <v>702</v>
      </c>
      <c r="O180" s="44" t="s">
        <v>753</v>
      </c>
    </row>
    <row r="181" spans="1:15" s="45" customFormat="1">
      <c r="A181" s="44" t="s">
        <v>630</v>
      </c>
      <c r="B181" s="44" t="s">
        <v>256</v>
      </c>
      <c r="C181" s="44">
        <v>0</v>
      </c>
      <c r="D181" s="44">
        <v>0</v>
      </c>
      <c r="E181" s="44">
        <v>0</v>
      </c>
      <c r="F181" s="44">
        <v>1</v>
      </c>
      <c r="G181" s="44">
        <v>1</v>
      </c>
      <c r="H181" s="44">
        <v>1</v>
      </c>
      <c r="I181" s="44" t="s">
        <v>630</v>
      </c>
      <c r="J181" s="44" t="s">
        <v>659</v>
      </c>
      <c r="K181" s="44" t="s">
        <v>930</v>
      </c>
      <c r="L181" s="44" t="s">
        <v>927</v>
      </c>
      <c r="M181" s="44" t="s">
        <v>839</v>
      </c>
      <c r="N181" s="44" t="s">
        <v>702</v>
      </c>
      <c r="O181" s="44" t="s">
        <v>753</v>
      </c>
    </row>
    <row r="182" spans="1:15" s="45" customFormat="1">
      <c r="A182" s="44" t="s">
        <v>557</v>
      </c>
      <c r="B182" s="44" t="s">
        <v>168</v>
      </c>
      <c r="C182" s="44">
        <v>1</v>
      </c>
      <c r="D182" s="44">
        <v>0</v>
      </c>
      <c r="E182" s="44">
        <v>0</v>
      </c>
      <c r="F182" s="44">
        <v>0</v>
      </c>
      <c r="G182" s="44">
        <v>1</v>
      </c>
      <c r="H182" s="44">
        <v>1</v>
      </c>
      <c r="I182" s="44" t="s">
        <v>557</v>
      </c>
      <c r="J182" s="44" t="s">
        <v>730</v>
      </c>
      <c r="K182" s="44" t="s">
        <v>931</v>
      </c>
      <c r="L182" s="44" t="s">
        <v>688</v>
      </c>
      <c r="M182" s="44" t="s">
        <v>839</v>
      </c>
      <c r="N182" s="44" t="s">
        <v>702</v>
      </c>
      <c r="O182" s="44" t="s">
        <v>725</v>
      </c>
    </row>
    <row r="183" spans="1:15" s="45" customFormat="1">
      <c r="A183" s="44" t="s">
        <v>557</v>
      </c>
      <c r="B183" s="44" t="s">
        <v>168</v>
      </c>
      <c r="C183" s="44">
        <v>1</v>
      </c>
      <c r="D183" s="44">
        <v>0</v>
      </c>
      <c r="E183" s="44">
        <v>0</v>
      </c>
      <c r="F183" s="44">
        <v>0</v>
      </c>
      <c r="G183" s="44">
        <v>1</v>
      </c>
      <c r="H183" s="44">
        <v>1</v>
      </c>
      <c r="I183" s="44" t="s">
        <v>605</v>
      </c>
      <c r="J183" s="44" t="s">
        <v>618</v>
      </c>
      <c r="K183" s="44" t="s">
        <v>932</v>
      </c>
      <c r="L183" s="44" t="s">
        <v>761</v>
      </c>
      <c r="M183" s="44" t="s">
        <v>839</v>
      </c>
      <c r="N183" s="44" t="s">
        <v>684</v>
      </c>
      <c r="O183" s="44" t="s">
        <v>847</v>
      </c>
    </row>
    <row r="184" spans="1:15" s="45" customFormat="1">
      <c r="A184" s="44" t="s">
        <v>557</v>
      </c>
      <c r="B184" s="44" t="s">
        <v>168</v>
      </c>
      <c r="C184" s="44">
        <v>1</v>
      </c>
      <c r="D184" s="44">
        <v>0</v>
      </c>
      <c r="E184" s="44">
        <v>0</v>
      </c>
      <c r="F184" s="44">
        <v>0</v>
      </c>
      <c r="G184" s="44">
        <v>1</v>
      </c>
      <c r="H184" s="44">
        <v>1</v>
      </c>
      <c r="I184" s="44" t="s">
        <v>557</v>
      </c>
      <c r="J184" s="44" t="s">
        <v>730</v>
      </c>
      <c r="K184" s="44" t="s">
        <v>933</v>
      </c>
      <c r="L184" s="44" t="s">
        <v>756</v>
      </c>
      <c r="M184" s="44" t="s">
        <v>839</v>
      </c>
      <c r="N184" s="44" t="s">
        <v>684</v>
      </c>
      <c r="O184" s="44" t="s">
        <v>725</v>
      </c>
    </row>
    <row r="185" spans="1:15" s="45" customFormat="1">
      <c r="A185" s="44" t="s">
        <v>557</v>
      </c>
      <c r="B185" s="44" t="s">
        <v>168</v>
      </c>
      <c r="C185" s="44">
        <v>1</v>
      </c>
      <c r="D185" s="44">
        <v>0</v>
      </c>
      <c r="E185" s="44">
        <v>0</v>
      </c>
      <c r="F185" s="44">
        <v>0</v>
      </c>
      <c r="G185" s="44">
        <v>1</v>
      </c>
      <c r="H185" s="44">
        <v>1</v>
      </c>
      <c r="I185" s="44" t="s">
        <v>557</v>
      </c>
      <c r="J185" s="44" t="s">
        <v>730</v>
      </c>
      <c r="K185" s="44" t="s">
        <v>934</v>
      </c>
      <c r="L185" s="44" t="s">
        <v>688</v>
      </c>
      <c r="M185" s="44" t="s">
        <v>839</v>
      </c>
      <c r="N185" s="44" t="s">
        <v>684</v>
      </c>
      <c r="O185" s="44" t="s">
        <v>847</v>
      </c>
    </row>
    <row r="186" spans="1:15" s="45" customFormat="1">
      <c r="A186" s="44" t="s">
        <v>529</v>
      </c>
      <c r="B186" s="44" t="s">
        <v>202</v>
      </c>
      <c r="C186" s="44">
        <v>1</v>
      </c>
      <c r="D186" s="44">
        <v>1</v>
      </c>
      <c r="E186" s="44">
        <v>0</v>
      </c>
      <c r="F186" s="44">
        <v>1</v>
      </c>
      <c r="G186" s="44">
        <v>1</v>
      </c>
      <c r="H186" s="44">
        <v>0</v>
      </c>
      <c r="I186" s="44" t="s">
        <v>529</v>
      </c>
      <c r="J186" s="44" t="s">
        <v>737</v>
      </c>
      <c r="K186" s="44" t="s">
        <v>935</v>
      </c>
      <c r="L186" s="44" t="s">
        <v>794</v>
      </c>
      <c r="M186" s="44" t="s">
        <v>839</v>
      </c>
      <c r="N186" s="44" t="s">
        <v>684</v>
      </c>
      <c r="O186" s="44" t="s">
        <v>847</v>
      </c>
    </row>
    <row r="187" spans="1:15" s="45" customFormat="1">
      <c r="A187" s="44" t="s">
        <v>529</v>
      </c>
      <c r="B187" s="44" t="s">
        <v>202</v>
      </c>
      <c r="C187" s="44">
        <v>1</v>
      </c>
      <c r="D187" s="44">
        <v>1</v>
      </c>
      <c r="E187" s="44">
        <v>0</v>
      </c>
      <c r="F187" s="44">
        <v>1</v>
      </c>
      <c r="G187" s="44">
        <v>1</v>
      </c>
      <c r="H187" s="44">
        <v>0</v>
      </c>
      <c r="I187" s="44" t="s">
        <v>529</v>
      </c>
      <c r="J187" s="44" t="s">
        <v>737</v>
      </c>
      <c r="K187" s="44" t="s">
        <v>936</v>
      </c>
      <c r="L187" s="44" t="s">
        <v>688</v>
      </c>
      <c r="M187" s="44" t="s">
        <v>839</v>
      </c>
      <c r="N187" s="44" t="s">
        <v>684</v>
      </c>
      <c r="O187" s="44" t="s">
        <v>725</v>
      </c>
    </row>
    <row r="188" spans="1:15" s="45" customFormat="1">
      <c r="A188" s="44" t="s">
        <v>529</v>
      </c>
      <c r="B188" s="44" t="s">
        <v>202</v>
      </c>
      <c r="C188" s="44">
        <v>1</v>
      </c>
      <c r="D188" s="44">
        <v>1</v>
      </c>
      <c r="E188" s="44">
        <v>0</v>
      </c>
      <c r="F188" s="44">
        <v>1</v>
      </c>
      <c r="G188" s="44">
        <v>1</v>
      </c>
      <c r="H188" s="44">
        <v>0</v>
      </c>
      <c r="I188" s="44" t="s">
        <v>527</v>
      </c>
      <c r="J188" s="44" t="s">
        <v>730</v>
      </c>
      <c r="K188" s="44" t="s">
        <v>937</v>
      </c>
      <c r="L188" s="44" t="s">
        <v>718</v>
      </c>
      <c r="M188" s="44" t="s">
        <v>839</v>
      </c>
      <c r="N188" s="44" t="s">
        <v>698</v>
      </c>
      <c r="O188" s="44" t="s">
        <v>725</v>
      </c>
    </row>
    <row r="189" spans="1:15" s="45" customFormat="1">
      <c r="A189" s="44" t="s">
        <v>529</v>
      </c>
      <c r="B189" s="44" t="s">
        <v>202</v>
      </c>
      <c r="C189" s="44">
        <v>1</v>
      </c>
      <c r="D189" s="44">
        <v>1</v>
      </c>
      <c r="E189" s="44">
        <v>0</v>
      </c>
      <c r="F189" s="44">
        <v>1</v>
      </c>
      <c r="G189" s="44">
        <v>1</v>
      </c>
      <c r="H189" s="44">
        <v>0</v>
      </c>
      <c r="I189" s="44" t="s">
        <v>630</v>
      </c>
      <c r="J189" s="44" t="s">
        <v>659</v>
      </c>
      <c r="K189" s="44" t="s">
        <v>938</v>
      </c>
      <c r="L189" s="44" t="s">
        <v>772</v>
      </c>
      <c r="M189" s="44" t="s">
        <v>839</v>
      </c>
      <c r="N189" s="44" t="s">
        <v>702</v>
      </c>
      <c r="O189" s="44" t="s">
        <v>693</v>
      </c>
    </row>
    <row r="190" spans="1:15" s="45" customFormat="1">
      <c r="A190" s="44" t="s">
        <v>635</v>
      </c>
      <c r="B190" s="44" t="s">
        <v>326</v>
      </c>
      <c r="C190" s="44">
        <v>1</v>
      </c>
      <c r="D190" s="44">
        <v>0</v>
      </c>
      <c r="E190" s="44">
        <v>0</v>
      </c>
      <c r="F190" s="44">
        <v>1</v>
      </c>
      <c r="G190" s="44">
        <v>0</v>
      </c>
      <c r="H190" s="44">
        <v>1</v>
      </c>
      <c r="I190" s="44" t="s">
        <v>575</v>
      </c>
      <c r="J190" s="44" t="s">
        <v>657</v>
      </c>
      <c r="K190" s="44" t="s">
        <v>939</v>
      </c>
      <c r="L190" s="44" t="s">
        <v>682</v>
      </c>
      <c r="M190" s="44" t="s">
        <v>839</v>
      </c>
      <c r="N190" s="44" t="s">
        <v>705</v>
      </c>
      <c r="O190" s="44" t="s">
        <v>693</v>
      </c>
    </row>
    <row r="191" spans="1:15" s="45" customFormat="1">
      <c r="A191" s="44" t="s">
        <v>635</v>
      </c>
      <c r="B191" s="44" t="s">
        <v>326</v>
      </c>
      <c r="C191" s="44">
        <v>1</v>
      </c>
      <c r="D191" s="44">
        <v>0</v>
      </c>
      <c r="E191" s="44">
        <v>0</v>
      </c>
      <c r="F191" s="44">
        <v>1</v>
      </c>
      <c r="G191" s="44">
        <v>0</v>
      </c>
      <c r="H191" s="44">
        <v>1</v>
      </c>
      <c r="I191" s="44" t="s">
        <v>635</v>
      </c>
      <c r="J191" s="44" t="s">
        <v>686</v>
      </c>
      <c r="K191" s="44" t="s">
        <v>939</v>
      </c>
      <c r="L191" s="44" t="s">
        <v>682</v>
      </c>
      <c r="M191" s="44" t="s">
        <v>839</v>
      </c>
      <c r="N191" s="44" t="s">
        <v>705</v>
      </c>
      <c r="O191" s="44" t="s">
        <v>693</v>
      </c>
    </row>
    <row r="192" spans="1:15" s="45" customFormat="1">
      <c r="A192" s="44" t="s">
        <v>635</v>
      </c>
      <c r="B192" s="44" t="s">
        <v>326</v>
      </c>
      <c r="C192" s="44">
        <v>1</v>
      </c>
      <c r="D192" s="44">
        <v>0</v>
      </c>
      <c r="E192" s="44">
        <v>0</v>
      </c>
      <c r="F192" s="44">
        <v>1</v>
      </c>
      <c r="G192" s="44">
        <v>0</v>
      </c>
      <c r="H192" s="44">
        <v>1</v>
      </c>
      <c r="I192" s="44" t="s">
        <v>635</v>
      </c>
      <c r="J192" s="44" t="s">
        <v>686</v>
      </c>
      <c r="K192" s="44" t="s">
        <v>940</v>
      </c>
      <c r="L192" s="44" t="s">
        <v>941</v>
      </c>
      <c r="M192" s="44" t="s">
        <v>839</v>
      </c>
      <c r="N192" s="44" t="s">
        <v>705</v>
      </c>
      <c r="O192" s="44" t="s">
        <v>693</v>
      </c>
    </row>
    <row r="193" spans="1:16" s="45" customFormat="1">
      <c r="A193" s="44" t="s">
        <v>635</v>
      </c>
      <c r="B193" s="44" t="s">
        <v>326</v>
      </c>
      <c r="C193" s="44">
        <v>1</v>
      </c>
      <c r="D193" s="44">
        <v>0</v>
      </c>
      <c r="E193" s="44">
        <v>0</v>
      </c>
      <c r="F193" s="44">
        <v>1</v>
      </c>
      <c r="G193" s="44">
        <v>0</v>
      </c>
      <c r="H193" s="44">
        <v>1</v>
      </c>
      <c r="I193" s="44" t="s">
        <v>635</v>
      </c>
      <c r="J193" s="44" t="s">
        <v>686</v>
      </c>
      <c r="K193" s="44" t="s">
        <v>942</v>
      </c>
      <c r="L193" s="44" t="s">
        <v>709</v>
      </c>
      <c r="M193" s="44" t="s">
        <v>839</v>
      </c>
      <c r="N193" s="44" t="s">
        <v>705</v>
      </c>
      <c r="O193" s="44" t="s">
        <v>693</v>
      </c>
    </row>
    <row r="194" spans="1:16" s="45" customFormat="1">
      <c r="A194" s="44" t="s">
        <v>589</v>
      </c>
      <c r="B194" s="44" t="s">
        <v>256</v>
      </c>
      <c r="C194" s="44">
        <v>0</v>
      </c>
      <c r="D194" s="44">
        <v>1</v>
      </c>
      <c r="E194" s="44">
        <v>1</v>
      </c>
      <c r="F194" s="44">
        <v>0</v>
      </c>
      <c r="G194" s="44">
        <v>1</v>
      </c>
      <c r="H194" s="44">
        <v>1</v>
      </c>
      <c r="I194" s="44" t="s">
        <v>589</v>
      </c>
      <c r="J194" s="44" t="s">
        <v>680</v>
      </c>
      <c r="K194" s="44" t="s">
        <v>943</v>
      </c>
      <c r="L194" s="44" t="s">
        <v>944</v>
      </c>
      <c r="M194" s="44" t="s">
        <v>839</v>
      </c>
      <c r="N194" s="44" t="s">
        <v>684</v>
      </c>
      <c r="O194" s="44" t="s">
        <v>685</v>
      </c>
    </row>
    <row r="195" spans="1:16" s="45" customFormat="1">
      <c r="A195" s="44" t="s">
        <v>589</v>
      </c>
      <c r="B195" s="44" t="s">
        <v>256</v>
      </c>
      <c r="C195" s="44">
        <v>0</v>
      </c>
      <c r="D195" s="44">
        <v>1</v>
      </c>
      <c r="E195" s="44">
        <v>1</v>
      </c>
      <c r="F195" s="44">
        <v>0</v>
      </c>
      <c r="G195" s="44">
        <v>1</v>
      </c>
      <c r="H195" s="44">
        <v>1</v>
      </c>
      <c r="I195" s="44" t="s">
        <v>589</v>
      </c>
      <c r="J195" s="44" t="s">
        <v>680</v>
      </c>
      <c r="K195" s="44" t="s">
        <v>945</v>
      </c>
      <c r="L195" s="44" t="s">
        <v>709</v>
      </c>
      <c r="M195" s="44" t="s">
        <v>839</v>
      </c>
      <c r="N195" s="44" t="s">
        <v>684</v>
      </c>
      <c r="O195" s="44" t="s">
        <v>725</v>
      </c>
    </row>
    <row r="196" spans="1:16" s="45" customFormat="1">
      <c r="A196" s="44" t="s">
        <v>589</v>
      </c>
      <c r="B196" s="44" t="s">
        <v>256</v>
      </c>
      <c r="C196" s="44">
        <v>0</v>
      </c>
      <c r="D196" s="44">
        <v>1</v>
      </c>
      <c r="E196" s="44">
        <v>1</v>
      </c>
      <c r="F196" s="44">
        <v>0</v>
      </c>
      <c r="G196" s="44">
        <v>1</v>
      </c>
      <c r="H196" s="44">
        <v>1</v>
      </c>
      <c r="I196" s="44" t="s">
        <v>589</v>
      </c>
      <c r="J196" s="44" t="s">
        <v>680</v>
      </c>
      <c r="K196" s="44" t="s">
        <v>946</v>
      </c>
      <c r="L196" s="44" t="s">
        <v>707</v>
      </c>
      <c r="M196" s="44" t="s">
        <v>839</v>
      </c>
      <c r="N196" s="44" t="s">
        <v>684</v>
      </c>
      <c r="O196" s="44" t="s">
        <v>685</v>
      </c>
    </row>
    <row r="197" spans="1:16" s="45" customFormat="1">
      <c r="A197" s="44" t="s">
        <v>589</v>
      </c>
      <c r="B197" s="44" t="s">
        <v>256</v>
      </c>
      <c r="C197" s="44">
        <v>0</v>
      </c>
      <c r="D197" s="44">
        <v>1</v>
      </c>
      <c r="E197" s="44">
        <v>1</v>
      </c>
      <c r="F197" s="44">
        <v>0</v>
      </c>
      <c r="G197" s="44">
        <v>1</v>
      </c>
      <c r="H197" s="44">
        <v>1</v>
      </c>
      <c r="I197" s="44" t="s">
        <v>589</v>
      </c>
      <c r="J197" s="44" t="s">
        <v>680</v>
      </c>
      <c r="K197" s="44" t="s">
        <v>947</v>
      </c>
      <c r="L197" s="44" t="s">
        <v>722</v>
      </c>
      <c r="M197" s="44" t="s">
        <v>839</v>
      </c>
      <c r="N197" s="44" t="s">
        <v>684</v>
      </c>
      <c r="O197" s="44" t="s">
        <v>685</v>
      </c>
    </row>
    <row r="198" spans="1:16" s="45" customFormat="1">
      <c r="A198" s="44" t="s">
        <v>563</v>
      </c>
      <c r="B198" s="44" t="s">
        <v>202</v>
      </c>
      <c r="C198" s="44">
        <v>0</v>
      </c>
      <c r="D198" s="44">
        <v>0</v>
      </c>
      <c r="E198" s="44">
        <v>1</v>
      </c>
      <c r="F198" s="44">
        <v>0</v>
      </c>
      <c r="G198" s="44">
        <v>0</v>
      </c>
      <c r="H198" s="44">
        <v>0</v>
      </c>
      <c r="I198" s="44" t="s">
        <v>563</v>
      </c>
      <c r="J198" s="44" t="s">
        <v>560</v>
      </c>
      <c r="K198" s="44" t="s">
        <v>948</v>
      </c>
      <c r="L198" s="44" t="s">
        <v>949</v>
      </c>
      <c r="M198" s="44" t="s">
        <v>839</v>
      </c>
      <c r="N198" s="44" t="s">
        <v>702</v>
      </c>
      <c r="O198" s="44" t="s">
        <v>753</v>
      </c>
    </row>
    <row r="199" spans="1:16" s="45" customFormat="1">
      <c r="A199" s="44" t="s">
        <v>563</v>
      </c>
      <c r="B199" s="44" t="s">
        <v>202</v>
      </c>
      <c r="C199" s="44">
        <v>0</v>
      </c>
      <c r="D199" s="44">
        <v>0</v>
      </c>
      <c r="E199" s="44">
        <v>1</v>
      </c>
      <c r="F199" s="44">
        <v>0</v>
      </c>
      <c r="G199" s="44">
        <v>0</v>
      </c>
      <c r="H199" s="44">
        <v>0</v>
      </c>
      <c r="I199" s="44" t="s">
        <v>168</v>
      </c>
      <c r="J199" s="44" t="s">
        <v>502</v>
      </c>
      <c r="K199" s="44" t="s">
        <v>950</v>
      </c>
      <c r="L199" s="44" t="s">
        <v>697</v>
      </c>
      <c r="M199" s="44" t="s">
        <v>839</v>
      </c>
      <c r="N199" s="44" t="s">
        <v>846</v>
      </c>
      <c r="O199" s="44" t="s">
        <v>753</v>
      </c>
    </row>
    <row r="200" spans="1:16" s="45" customFormat="1">
      <c r="A200" s="44" t="s">
        <v>563</v>
      </c>
      <c r="B200" s="44" t="s">
        <v>202</v>
      </c>
      <c r="C200" s="44">
        <v>0</v>
      </c>
      <c r="D200" s="44">
        <v>0</v>
      </c>
      <c r="E200" s="44">
        <v>1</v>
      </c>
      <c r="F200" s="44">
        <v>0</v>
      </c>
      <c r="G200" s="44">
        <v>0</v>
      </c>
      <c r="H200" s="44">
        <v>0</v>
      </c>
      <c r="I200" s="44" t="s">
        <v>563</v>
      </c>
      <c r="J200" s="44" t="s">
        <v>560</v>
      </c>
      <c r="K200" s="44" t="s">
        <v>950</v>
      </c>
      <c r="L200" s="44" t="s">
        <v>697</v>
      </c>
      <c r="M200" s="44" t="s">
        <v>839</v>
      </c>
      <c r="N200" s="44" t="s">
        <v>846</v>
      </c>
      <c r="O200" s="44" t="s">
        <v>753</v>
      </c>
    </row>
    <row r="201" spans="1:16" s="45" customFormat="1">
      <c r="A201" s="44" t="s">
        <v>563</v>
      </c>
      <c r="B201" s="44" t="s">
        <v>202</v>
      </c>
      <c r="C201" s="44">
        <v>0</v>
      </c>
      <c r="D201" s="44">
        <v>0</v>
      </c>
      <c r="E201" s="44">
        <v>1</v>
      </c>
      <c r="F201" s="44">
        <v>0</v>
      </c>
      <c r="G201" s="44">
        <v>0</v>
      </c>
      <c r="H201" s="44">
        <v>0</v>
      </c>
      <c r="I201" s="44" t="s">
        <v>563</v>
      </c>
      <c r="J201" s="44" t="s">
        <v>560</v>
      </c>
      <c r="K201" s="44" t="s">
        <v>951</v>
      </c>
      <c r="L201" s="44" t="s">
        <v>688</v>
      </c>
      <c r="M201" s="44" t="s">
        <v>839</v>
      </c>
      <c r="N201" s="44" t="s">
        <v>684</v>
      </c>
      <c r="O201" s="44" t="s">
        <v>753</v>
      </c>
    </row>
    <row r="202" spans="1:16" s="45" customFormat="1">
      <c r="A202" s="44" t="s">
        <v>506</v>
      </c>
      <c r="B202" s="44" t="s">
        <v>168</v>
      </c>
      <c r="C202" s="44">
        <v>0</v>
      </c>
      <c r="D202" s="44">
        <v>0</v>
      </c>
      <c r="E202" s="44">
        <v>1</v>
      </c>
      <c r="F202" s="44">
        <v>1</v>
      </c>
      <c r="G202" s="44">
        <v>1</v>
      </c>
      <c r="H202" s="44">
        <v>1</v>
      </c>
      <c r="I202" s="44" t="s">
        <v>506</v>
      </c>
      <c r="J202" s="44" t="s">
        <v>730</v>
      </c>
      <c r="K202" s="44" t="s">
        <v>952</v>
      </c>
      <c r="L202" s="44" t="s">
        <v>761</v>
      </c>
      <c r="M202" s="44" t="s">
        <v>839</v>
      </c>
      <c r="N202" s="44" t="s">
        <v>684</v>
      </c>
      <c r="O202" s="44" t="s">
        <v>753</v>
      </c>
    </row>
    <row r="203" spans="1:16" s="45" customFormat="1">
      <c r="A203" s="44" t="s">
        <v>506</v>
      </c>
      <c r="B203" s="44" t="s">
        <v>168</v>
      </c>
      <c r="C203" s="44">
        <v>0</v>
      </c>
      <c r="D203" s="44">
        <v>0</v>
      </c>
      <c r="E203" s="44">
        <v>1</v>
      </c>
      <c r="F203" s="44">
        <v>1</v>
      </c>
      <c r="G203" s="44">
        <v>1</v>
      </c>
      <c r="H203" s="44">
        <v>1</v>
      </c>
      <c r="I203" s="44" t="s">
        <v>506</v>
      </c>
      <c r="J203" s="44" t="s">
        <v>730</v>
      </c>
      <c r="K203" s="44" t="s">
        <v>953</v>
      </c>
      <c r="L203" s="44" t="s">
        <v>797</v>
      </c>
      <c r="M203" s="44" t="s">
        <v>839</v>
      </c>
      <c r="N203" s="44" t="s">
        <v>684</v>
      </c>
      <c r="O203" s="44" t="s">
        <v>753</v>
      </c>
    </row>
    <row r="204" spans="1:16" s="45" customFormat="1">
      <c r="A204" s="44" t="s">
        <v>506</v>
      </c>
      <c r="B204" s="44" t="s">
        <v>168</v>
      </c>
      <c r="C204" s="44">
        <v>0</v>
      </c>
      <c r="D204" s="44">
        <v>0</v>
      </c>
      <c r="E204" s="44">
        <v>1</v>
      </c>
      <c r="F204" s="44">
        <v>1</v>
      </c>
      <c r="G204" s="44">
        <v>1</v>
      </c>
      <c r="H204" s="44">
        <v>1</v>
      </c>
      <c r="I204" s="44" t="s">
        <v>506</v>
      </c>
      <c r="J204" s="44" t="s">
        <v>730</v>
      </c>
      <c r="K204" s="44" t="s">
        <v>954</v>
      </c>
      <c r="L204" s="44" t="s">
        <v>709</v>
      </c>
      <c r="M204" s="44" t="s">
        <v>839</v>
      </c>
      <c r="N204" s="44" t="s">
        <v>684</v>
      </c>
      <c r="O204" s="44" t="s">
        <v>725</v>
      </c>
    </row>
    <row r="205" spans="1:16" s="45" customFormat="1">
      <c r="A205" s="44" t="s">
        <v>506</v>
      </c>
      <c r="B205" s="44" t="s">
        <v>168</v>
      </c>
      <c r="C205" s="44">
        <v>0</v>
      </c>
      <c r="D205" s="44">
        <v>0</v>
      </c>
      <c r="E205" s="44">
        <v>1</v>
      </c>
      <c r="F205" s="44">
        <v>1</v>
      </c>
      <c r="G205" s="44">
        <v>1</v>
      </c>
      <c r="H205" s="44">
        <v>1</v>
      </c>
      <c r="I205" s="44" t="s">
        <v>506</v>
      </c>
      <c r="J205" s="44" t="s">
        <v>730</v>
      </c>
      <c r="K205" s="44" t="s">
        <v>955</v>
      </c>
      <c r="L205" s="44" t="s">
        <v>794</v>
      </c>
      <c r="M205" s="44" t="s">
        <v>839</v>
      </c>
      <c r="N205" s="44" t="s">
        <v>702</v>
      </c>
      <c r="O205" s="44" t="s">
        <v>693</v>
      </c>
    </row>
    <row r="206" spans="1:16" s="45" customFormat="1">
      <c r="A206" s="44" t="s">
        <v>588</v>
      </c>
      <c r="B206" s="44" t="s">
        <v>256</v>
      </c>
      <c r="C206" s="44">
        <v>1</v>
      </c>
      <c r="D206" s="44">
        <v>0</v>
      </c>
      <c r="E206" s="44">
        <v>1</v>
      </c>
      <c r="F206" s="44">
        <v>1</v>
      </c>
      <c r="G206" s="44">
        <v>1</v>
      </c>
      <c r="H206" s="44">
        <v>1</v>
      </c>
      <c r="I206" s="44" t="s">
        <v>603</v>
      </c>
      <c r="J206" s="44" t="s">
        <v>618</v>
      </c>
      <c r="K206" s="44" t="s">
        <v>956</v>
      </c>
      <c r="L206" s="44" t="s">
        <v>682</v>
      </c>
      <c r="M206" s="44" t="s">
        <v>839</v>
      </c>
      <c r="N206" s="44" t="s">
        <v>702</v>
      </c>
      <c r="O206" s="44" t="s">
        <v>693</v>
      </c>
    </row>
    <row r="207" spans="1:16" s="45" customFormat="1">
      <c r="A207" s="44" t="s">
        <v>588</v>
      </c>
      <c r="B207" s="44" t="s">
        <v>256</v>
      </c>
      <c r="C207" s="44">
        <v>1</v>
      </c>
      <c r="D207" s="44">
        <v>0</v>
      </c>
      <c r="E207" s="44">
        <v>1</v>
      </c>
      <c r="F207" s="44">
        <v>1</v>
      </c>
      <c r="G207" s="44">
        <v>1</v>
      </c>
      <c r="H207" s="44">
        <v>1</v>
      </c>
      <c r="I207" s="44" t="s">
        <v>642</v>
      </c>
      <c r="J207" s="44" t="s">
        <v>686</v>
      </c>
      <c r="K207" s="44" t="s">
        <v>957</v>
      </c>
      <c r="L207" s="44" t="s">
        <v>722</v>
      </c>
      <c r="M207" s="44" t="s">
        <v>839</v>
      </c>
      <c r="N207" s="44" t="s">
        <v>702</v>
      </c>
      <c r="O207" s="44" t="s">
        <v>693</v>
      </c>
    </row>
    <row r="208" spans="1:16" s="45" customFormat="1">
      <c r="A208" s="44" t="s">
        <v>588</v>
      </c>
      <c r="B208" s="44" t="s">
        <v>256</v>
      </c>
      <c r="C208" s="44">
        <v>1</v>
      </c>
      <c r="D208" s="44">
        <v>0</v>
      </c>
      <c r="E208" s="44">
        <v>1</v>
      </c>
      <c r="F208" s="44">
        <v>1</v>
      </c>
      <c r="G208" s="44">
        <v>1</v>
      </c>
      <c r="H208" s="44">
        <v>1</v>
      </c>
      <c r="I208" s="44" t="s">
        <v>588</v>
      </c>
      <c r="J208" s="44" t="s">
        <v>680</v>
      </c>
      <c r="K208" s="44" t="s">
        <v>958</v>
      </c>
      <c r="L208" s="44" t="s">
        <v>827</v>
      </c>
      <c r="M208" s="44" t="s">
        <v>839</v>
      </c>
      <c r="N208" s="44" t="s">
        <v>702</v>
      </c>
      <c r="O208" s="44" t="s">
        <v>693</v>
      </c>
      <c r="P208" s="45" t="s">
        <v>959</v>
      </c>
    </row>
    <row r="209" spans="1:15" s="45" customFormat="1">
      <c r="A209" s="44" t="s">
        <v>588</v>
      </c>
      <c r="B209" s="44" t="s">
        <v>256</v>
      </c>
      <c r="C209" s="44">
        <v>1</v>
      </c>
      <c r="D209" s="44">
        <v>0</v>
      </c>
      <c r="E209" s="44">
        <v>1</v>
      </c>
      <c r="F209" s="44">
        <v>1</v>
      </c>
      <c r="G209" s="44">
        <v>1</v>
      </c>
      <c r="H209" s="44">
        <v>1</v>
      </c>
      <c r="I209" s="44" t="s">
        <v>588</v>
      </c>
      <c r="J209" s="44" t="s">
        <v>680</v>
      </c>
      <c r="K209" s="44" t="s">
        <v>960</v>
      </c>
      <c r="L209" s="44" t="s">
        <v>722</v>
      </c>
      <c r="M209" s="44" t="s">
        <v>839</v>
      </c>
      <c r="N209" s="44" t="s">
        <v>702</v>
      </c>
      <c r="O209" s="44" t="s">
        <v>693</v>
      </c>
    </row>
    <row r="210" spans="1:15" s="48" customFormat="1">
      <c r="A210" s="47" t="s">
        <v>596</v>
      </c>
      <c r="B210" s="47" t="s">
        <v>256</v>
      </c>
      <c r="C210" s="47">
        <v>0</v>
      </c>
      <c r="D210" s="47">
        <v>1</v>
      </c>
      <c r="E210" s="47">
        <v>0</v>
      </c>
      <c r="F210" s="47">
        <v>0</v>
      </c>
      <c r="G210" s="47">
        <v>0</v>
      </c>
      <c r="H210" s="47">
        <v>0</v>
      </c>
      <c r="I210" s="47" t="s">
        <v>596</v>
      </c>
      <c r="J210" s="47" t="s">
        <v>680</v>
      </c>
      <c r="K210" s="47" t="s">
        <v>961</v>
      </c>
      <c r="L210" s="47" t="s">
        <v>722</v>
      </c>
      <c r="M210" s="47" t="s">
        <v>962</v>
      </c>
      <c r="N210" s="47"/>
      <c r="O210" s="47"/>
    </row>
    <row r="211" spans="1:15" s="48" customFormat="1">
      <c r="A211" s="47" t="s">
        <v>596</v>
      </c>
      <c r="B211" s="47" t="s">
        <v>256</v>
      </c>
      <c r="C211" s="47">
        <v>0</v>
      </c>
      <c r="D211" s="47">
        <v>1</v>
      </c>
      <c r="E211" s="47">
        <v>0</v>
      </c>
      <c r="F211" s="47">
        <v>0</v>
      </c>
      <c r="G211" s="47">
        <v>0</v>
      </c>
      <c r="H211" s="47">
        <v>0</v>
      </c>
      <c r="I211" s="47" t="s">
        <v>575</v>
      </c>
      <c r="J211" s="47" t="s">
        <v>657</v>
      </c>
      <c r="K211" s="47" t="s">
        <v>963</v>
      </c>
      <c r="L211" s="47" t="s">
        <v>707</v>
      </c>
      <c r="M211" s="47" t="s">
        <v>962</v>
      </c>
      <c r="N211" s="47"/>
      <c r="O211" s="47"/>
    </row>
    <row r="212" spans="1:15" s="48" customFormat="1">
      <c r="A212" s="47" t="s">
        <v>596</v>
      </c>
      <c r="B212" s="47" t="s">
        <v>256</v>
      </c>
      <c r="C212" s="47">
        <v>0</v>
      </c>
      <c r="D212" s="47">
        <v>1</v>
      </c>
      <c r="E212" s="47">
        <v>0</v>
      </c>
      <c r="F212" s="47">
        <v>0</v>
      </c>
      <c r="G212" s="47">
        <v>0</v>
      </c>
      <c r="H212" s="47">
        <v>0</v>
      </c>
      <c r="I212" s="47" t="s">
        <v>596</v>
      </c>
      <c r="J212" s="47" t="s">
        <v>680</v>
      </c>
      <c r="K212" s="47" t="s">
        <v>964</v>
      </c>
      <c r="L212" s="47" t="s">
        <v>722</v>
      </c>
      <c r="M212" s="47" t="s">
        <v>962</v>
      </c>
      <c r="N212" s="47"/>
      <c r="O212" s="47"/>
    </row>
    <row r="213" spans="1:15" s="48" customFormat="1">
      <c r="A213" s="47" t="s">
        <v>596</v>
      </c>
      <c r="B213" s="47" t="s">
        <v>256</v>
      </c>
      <c r="C213" s="47">
        <v>0</v>
      </c>
      <c r="D213" s="47">
        <v>1</v>
      </c>
      <c r="E213" s="47">
        <v>0</v>
      </c>
      <c r="F213" s="47">
        <v>0</v>
      </c>
      <c r="G213" s="47">
        <v>0</v>
      </c>
      <c r="H213" s="47">
        <v>0</v>
      </c>
      <c r="I213" s="47" t="s">
        <v>596</v>
      </c>
      <c r="J213" s="47" t="s">
        <v>680</v>
      </c>
      <c r="K213" s="47" t="s">
        <v>965</v>
      </c>
      <c r="L213" s="47" t="s">
        <v>709</v>
      </c>
      <c r="M213" s="47" t="s">
        <v>962</v>
      </c>
      <c r="N213" s="47"/>
      <c r="O213" s="47"/>
    </row>
    <row r="214" spans="1:15" s="48" customFormat="1">
      <c r="A214" s="47" t="s">
        <v>547</v>
      </c>
      <c r="B214" s="47" t="s">
        <v>202</v>
      </c>
      <c r="C214" s="47">
        <v>1</v>
      </c>
      <c r="D214" s="47">
        <v>0</v>
      </c>
      <c r="E214" s="47">
        <v>1</v>
      </c>
      <c r="F214" s="47">
        <v>0</v>
      </c>
      <c r="G214" s="47">
        <v>0</v>
      </c>
      <c r="H214" s="47">
        <v>0</v>
      </c>
      <c r="I214" s="47" t="s">
        <v>546</v>
      </c>
      <c r="J214" s="47" t="s">
        <v>773</v>
      </c>
      <c r="K214" s="47" t="s">
        <v>966</v>
      </c>
      <c r="L214" s="47" t="s">
        <v>688</v>
      </c>
      <c r="M214" s="47" t="s">
        <v>962</v>
      </c>
      <c r="N214" s="47"/>
      <c r="O214" s="47"/>
    </row>
    <row r="215" spans="1:15" s="48" customFormat="1">
      <c r="A215" s="47" t="s">
        <v>547</v>
      </c>
      <c r="B215" s="47" t="s">
        <v>202</v>
      </c>
      <c r="C215" s="47">
        <v>1</v>
      </c>
      <c r="D215" s="47">
        <v>0</v>
      </c>
      <c r="E215" s="47">
        <v>1</v>
      </c>
      <c r="F215" s="47">
        <v>0</v>
      </c>
      <c r="G215" s="47">
        <v>0</v>
      </c>
      <c r="H215" s="47">
        <v>0</v>
      </c>
      <c r="I215" s="47" t="s">
        <v>547</v>
      </c>
      <c r="J215" s="47" t="s">
        <v>773</v>
      </c>
      <c r="K215" s="47" t="s">
        <v>967</v>
      </c>
      <c r="L215" s="47" t="s">
        <v>724</v>
      </c>
      <c r="M215" s="47" t="s">
        <v>962</v>
      </c>
      <c r="N215" s="47"/>
      <c r="O215" s="47"/>
    </row>
    <row r="216" spans="1:15" s="48" customFormat="1">
      <c r="A216" s="47" t="s">
        <v>547</v>
      </c>
      <c r="B216" s="47" t="s">
        <v>202</v>
      </c>
      <c r="C216" s="47">
        <v>1</v>
      </c>
      <c r="D216" s="47">
        <v>0</v>
      </c>
      <c r="E216" s="47">
        <v>1</v>
      </c>
      <c r="F216" s="47">
        <v>0</v>
      </c>
      <c r="G216" s="47">
        <v>0</v>
      </c>
      <c r="H216" s="47">
        <v>0</v>
      </c>
      <c r="I216" s="47" t="s">
        <v>547</v>
      </c>
      <c r="J216" s="47" t="s">
        <v>773</v>
      </c>
      <c r="K216" s="47" t="s">
        <v>968</v>
      </c>
      <c r="L216" s="47" t="s">
        <v>797</v>
      </c>
      <c r="M216" s="47" t="s">
        <v>962</v>
      </c>
      <c r="N216" s="47"/>
      <c r="O216" s="47"/>
    </row>
    <row r="217" spans="1:15" s="48" customFormat="1">
      <c r="A217" s="47" t="s">
        <v>547</v>
      </c>
      <c r="B217" s="47" t="s">
        <v>202</v>
      </c>
      <c r="C217" s="47">
        <v>1</v>
      </c>
      <c r="D217" s="47">
        <v>0</v>
      </c>
      <c r="E217" s="47">
        <v>1</v>
      </c>
      <c r="F217" s="47">
        <v>0</v>
      </c>
      <c r="G217" s="47">
        <v>0</v>
      </c>
      <c r="H217" s="47">
        <v>0</v>
      </c>
      <c r="I217" s="47" t="s">
        <v>547</v>
      </c>
      <c r="J217" s="47" t="s">
        <v>773</v>
      </c>
      <c r="K217" s="47" t="s">
        <v>969</v>
      </c>
      <c r="L217" s="47" t="s">
        <v>866</v>
      </c>
      <c r="M217" s="47" t="s">
        <v>962</v>
      </c>
      <c r="N217" s="47"/>
      <c r="O217" s="47"/>
    </row>
    <row r="218" spans="1:15" s="48" customFormat="1">
      <c r="A218" s="47" t="s">
        <v>576</v>
      </c>
      <c r="B218" s="47" t="s">
        <v>256</v>
      </c>
      <c r="C218" s="47">
        <v>1</v>
      </c>
      <c r="D218" s="47">
        <v>0</v>
      </c>
      <c r="E218" s="47">
        <v>1</v>
      </c>
      <c r="F218" s="47">
        <v>0</v>
      </c>
      <c r="G218" s="47">
        <v>1</v>
      </c>
      <c r="H218" s="47">
        <v>1</v>
      </c>
      <c r="I218" s="47" t="s">
        <v>576</v>
      </c>
      <c r="J218" s="47" t="s">
        <v>657</v>
      </c>
      <c r="K218" s="47" t="s">
        <v>970</v>
      </c>
      <c r="L218" s="47" t="s">
        <v>718</v>
      </c>
      <c r="M218" s="47" t="s">
        <v>962</v>
      </c>
      <c r="N218" s="47"/>
      <c r="O218" s="47"/>
    </row>
    <row r="219" spans="1:15" s="48" customFormat="1">
      <c r="A219" s="47" t="s">
        <v>576</v>
      </c>
      <c r="B219" s="47" t="s">
        <v>256</v>
      </c>
      <c r="C219" s="47">
        <v>1</v>
      </c>
      <c r="D219" s="47">
        <v>0</v>
      </c>
      <c r="E219" s="47">
        <v>1</v>
      </c>
      <c r="F219" s="47">
        <v>0</v>
      </c>
      <c r="G219" s="47">
        <v>1</v>
      </c>
      <c r="H219" s="47">
        <v>1</v>
      </c>
      <c r="I219" s="47" t="s">
        <v>576</v>
      </c>
      <c r="J219" s="47" t="s">
        <v>657</v>
      </c>
      <c r="K219" s="47" t="s">
        <v>971</v>
      </c>
      <c r="L219" s="47" t="s">
        <v>720</v>
      </c>
      <c r="M219" s="47" t="s">
        <v>962</v>
      </c>
      <c r="N219" s="47"/>
      <c r="O219" s="47"/>
    </row>
    <row r="220" spans="1:15" s="48" customFormat="1">
      <c r="A220" s="47" t="s">
        <v>576</v>
      </c>
      <c r="B220" s="47" t="s">
        <v>256</v>
      </c>
      <c r="C220" s="47">
        <v>1</v>
      </c>
      <c r="D220" s="47">
        <v>0</v>
      </c>
      <c r="E220" s="47">
        <v>1</v>
      </c>
      <c r="F220" s="47">
        <v>0</v>
      </c>
      <c r="G220" s="47">
        <v>1</v>
      </c>
      <c r="H220" s="47">
        <v>1</v>
      </c>
      <c r="I220" s="47" t="s">
        <v>576</v>
      </c>
      <c r="J220" s="47" t="s">
        <v>657</v>
      </c>
      <c r="K220" s="47" t="s">
        <v>972</v>
      </c>
      <c r="L220" s="47" t="s">
        <v>829</v>
      </c>
      <c r="M220" s="47" t="s">
        <v>962</v>
      </c>
      <c r="N220" s="47"/>
      <c r="O220" s="47"/>
    </row>
    <row r="221" spans="1:15" s="48" customFormat="1">
      <c r="A221" s="47" t="s">
        <v>576</v>
      </c>
      <c r="B221" s="47" t="s">
        <v>256</v>
      </c>
      <c r="C221" s="47">
        <v>1</v>
      </c>
      <c r="D221" s="47">
        <v>0</v>
      </c>
      <c r="E221" s="47">
        <v>1</v>
      </c>
      <c r="F221" s="47">
        <v>0</v>
      </c>
      <c r="G221" s="47">
        <v>1</v>
      </c>
      <c r="H221" s="47">
        <v>1</v>
      </c>
      <c r="I221" s="47" t="s">
        <v>576</v>
      </c>
      <c r="J221" s="47" t="s">
        <v>657</v>
      </c>
      <c r="K221" s="47" t="s">
        <v>973</v>
      </c>
      <c r="L221" s="47" t="s">
        <v>974</v>
      </c>
      <c r="M221" s="47" t="s">
        <v>962</v>
      </c>
      <c r="N221" s="47"/>
      <c r="O221" s="47"/>
    </row>
    <row r="222" spans="1:15" s="48" customFormat="1">
      <c r="A222" s="47" t="s">
        <v>524</v>
      </c>
      <c r="B222" s="47" t="s">
        <v>168</v>
      </c>
      <c r="C222" s="47">
        <v>1</v>
      </c>
      <c r="D222" s="47">
        <v>1</v>
      </c>
      <c r="E222" s="47">
        <v>0</v>
      </c>
      <c r="F222" s="47">
        <v>0</v>
      </c>
      <c r="G222" s="47">
        <v>1</v>
      </c>
      <c r="H222" s="47">
        <v>1</v>
      </c>
      <c r="I222" s="47" t="s">
        <v>524</v>
      </c>
      <c r="J222" s="47" t="s">
        <v>754</v>
      </c>
      <c r="K222" s="47" t="s">
        <v>975</v>
      </c>
      <c r="L222" s="47" t="s">
        <v>794</v>
      </c>
      <c r="M222" s="47" t="s">
        <v>962</v>
      </c>
      <c r="N222" s="47"/>
      <c r="O222" s="47"/>
    </row>
    <row r="223" spans="1:15" s="48" customFormat="1">
      <c r="A223" s="47" t="s">
        <v>524</v>
      </c>
      <c r="B223" s="47" t="s">
        <v>168</v>
      </c>
      <c r="C223" s="47">
        <v>1</v>
      </c>
      <c r="D223" s="47">
        <v>1</v>
      </c>
      <c r="E223" s="47">
        <v>0</v>
      </c>
      <c r="F223" s="47">
        <v>0</v>
      </c>
      <c r="G223" s="47">
        <v>1</v>
      </c>
      <c r="H223" s="47">
        <v>1</v>
      </c>
      <c r="I223" s="47" t="s">
        <v>524</v>
      </c>
      <c r="J223" s="47" t="s">
        <v>754</v>
      </c>
      <c r="K223" s="47" t="s">
        <v>976</v>
      </c>
      <c r="L223" s="47" t="s">
        <v>794</v>
      </c>
      <c r="M223" s="47" t="s">
        <v>962</v>
      </c>
      <c r="N223" s="47"/>
      <c r="O223" s="47"/>
    </row>
    <row r="224" spans="1:15" s="48" customFormat="1">
      <c r="A224" s="47" t="s">
        <v>524</v>
      </c>
      <c r="B224" s="47" t="s">
        <v>168</v>
      </c>
      <c r="C224" s="47">
        <v>1</v>
      </c>
      <c r="D224" s="47">
        <v>1</v>
      </c>
      <c r="E224" s="47">
        <v>0</v>
      </c>
      <c r="F224" s="47">
        <v>0</v>
      </c>
      <c r="G224" s="47">
        <v>1</v>
      </c>
      <c r="H224" s="47">
        <v>1</v>
      </c>
      <c r="I224" s="47" t="s">
        <v>524</v>
      </c>
      <c r="J224" s="47" t="s">
        <v>754</v>
      </c>
      <c r="K224" s="47" t="s">
        <v>977</v>
      </c>
      <c r="L224" s="47" t="s">
        <v>724</v>
      </c>
      <c r="M224" s="47" t="s">
        <v>962</v>
      </c>
      <c r="N224" s="47"/>
      <c r="O224" s="47"/>
    </row>
    <row r="225" spans="1:15" s="48" customFormat="1">
      <c r="A225" s="47" t="s">
        <v>524</v>
      </c>
      <c r="B225" s="47" t="s">
        <v>168</v>
      </c>
      <c r="C225" s="47">
        <v>1</v>
      </c>
      <c r="D225" s="47">
        <v>1</v>
      </c>
      <c r="E225" s="47">
        <v>0</v>
      </c>
      <c r="F225" s="47">
        <v>0</v>
      </c>
      <c r="G225" s="47">
        <v>1</v>
      </c>
      <c r="H225" s="47">
        <v>1</v>
      </c>
      <c r="I225" s="47" t="s">
        <v>524</v>
      </c>
      <c r="J225" s="47" t="s">
        <v>754</v>
      </c>
      <c r="K225" s="47" t="s">
        <v>978</v>
      </c>
      <c r="L225" s="47" t="s">
        <v>794</v>
      </c>
      <c r="M225" s="47" t="s">
        <v>962</v>
      </c>
      <c r="N225" s="47"/>
      <c r="O225" s="47"/>
    </row>
    <row r="226" spans="1:15" s="48" customFormat="1">
      <c r="A226" s="47" t="s">
        <v>558</v>
      </c>
      <c r="B226" s="47" t="s">
        <v>202</v>
      </c>
      <c r="C226" s="47">
        <v>0</v>
      </c>
      <c r="D226" s="47">
        <v>1</v>
      </c>
      <c r="E226" s="47">
        <v>1</v>
      </c>
      <c r="F226" s="47">
        <v>1</v>
      </c>
      <c r="G226" s="47">
        <v>0</v>
      </c>
      <c r="H226" s="47">
        <v>1</v>
      </c>
      <c r="I226" s="47" t="s">
        <v>558</v>
      </c>
      <c r="J226" s="47" t="s">
        <v>560</v>
      </c>
      <c r="K226" s="47" t="s">
        <v>979</v>
      </c>
      <c r="L226" s="47" t="s">
        <v>807</v>
      </c>
      <c r="M226" s="47" t="s">
        <v>962</v>
      </c>
      <c r="N226" s="47"/>
      <c r="O226" s="47"/>
    </row>
    <row r="227" spans="1:15" s="48" customFormat="1">
      <c r="A227" s="47" t="s">
        <v>558</v>
      </c>
      <c r="B227" s="47" t="s">
        <v>202</v>
      </c>
      <c r="C227" s="47">
        <v>0</v>
      </c>
      <c r="D227" s="47">
        <v>1</v>
      </c>
      <c r="E227" s="47">
        <v>1</v>
      </c>
      <c r="F227" s="47">
        <v>1</v>
      </c>
      <c r="G227" s="47">
        <v>0</v>
      </c>
      <c r="H227" s="47">
        <v>1</v>
      </c>
      <c r="I227" s="47" t="s">
        <v>558</v>
      </c>
      <c r="J227" s="47" t="s">
        <v>560</v>
      </c>
      <c r="K227" s="47" t="s">
        <v>980</v>
      </c>
      <c r="L227" s="47" t="s">
        <v>697</v>
      </c>
      <c r="M227" s="47" t="s">
        <v>962</v>
      </c>
      <c r="N227" s="47"/>
      <c r="O227" s="47"/>
    </row>
    <row r="228" spans="1:15" s="48" customFormat="1">
      <c r="A228" s="47" t="s">
        <v>558</v>
      </c>
      <c r="B228" s="47" t="s">
        <v>202</v>
      </c>
      <c r="C228" s="47">
        <v>0</v>
      </c>
      <c r="D228" s="47">
        <v>1</v>
      </c>
      <c r="E228" s="47">
        <v>1</v>
      </c>
      <c r="F228" s="47">
        <v>1</v>
      </c>
      <c r="G228" s="47">
        <v>0</v>
      </c>
      <c r="H228" s="47">
        <v>1</v>
      </c>
      <c r="I228" s="47" t="s">
        <v>558</v>
      </c>
      <c r="J228" s="47" t="s">
        <v>560</v>
      </c>
      <c r="K228" s="47" t="s">
        <v>981</v>
      </c>
      <c r="L228" s="47" t="s">
        <v>709</v>
      </c>
      <c r="M228" s="47" t="s">
        <v>962</v>
      </c>
      <c r="N228" s="47"/>
      <c r="O228" s="47"/>
    </row>
    <row r="229" spans="1:15" s="48" customFormat="1">
      <c r="A229" s="47" t="s">
        <v>558</v>
      </c>
      <c r="B229" s="47" t="s">
        <v>202</v>
      </c>
      <c r="C229" s="47">
        <v>0</v>
      </c>
      <c r="D229" s="47">
        <v>1</v>
      </c>
      <c r="E229" s="47">
        <v>1</v>
      </c>
      <c r="F229" s="47">
        <v>1</v>
      </c>
      <c r="G229" s="47">
        <v>0</v>
      </c>
      <c r="H229" s="47">
        <v>1</v>
      </c>
      <c r="I229" s="47" t="s">
        <v>498</v>
      </c>
      <c r="J229" s="47" t="s">
        <v>730</v>
      </c>
      <c r="K229" s="47" t="s">
        <v>980</v>
      </c>
      <c r="L229" s="47" t="s">
        <v>697</v>
      </c>
      <c r="M229" s="47" t="s">
        <v>962</v>
      </c>
      <c r="N229" s="47"/>
      <c r="O229" s="47"/>
    </row>
    <row r="230" spans="1:15" s="48" customFormat="1">
      <c r="A230" s="47" t="s">
        <v>560</v>
      </c>
      <c r="B230" s="47" t="s">
        <v>202</v>
      </c>
      <c r="C230" s="47">
        <v>0</v>
      </c>
      <c r="D230" s="47">
        <v>1</v>
      </c>
      <c r="E230" s="47">
        <v>1</v>
      </c>
      <c r="F230" s="47">
        <v>1</v>
      </c>
      <c r="G230" s="47">
        <v>0</v>
      </c>
      <c r="H230" s="47">
        <v>1</v>
      </c>
      <c r="I230" s="47" t="s">
        <v>560</v>
      </c>
      <c r="J230" s="47" t="s">
        <v>560</v>
      </c>
      <c r="K230" s="47" t="s">
        <v>982</v>
      </c>
      <c r="L230" s="47" t="s">
        <v>816</v>
      </c>
      <c r="M230" s="47" t="s">
        <v>962</v>
      </c>
      <c r="N230" s="47"/>
      <c r="O230" s="47"/>
    </row>
    <row r="231" spans="1:15" s="48" customFormat="1">
      <c r="A231" s="47" t="s">
        <v>560</v>
      </c>
      <c r="B231" s="47" t="s">
        <v>202</v>
      </c>
      <c r="C231" s="47">
        <v>0</v>
      </c>
      <c r="D231" s="47">
        <v>1</v>
      </c>
      <c r="E231" s="47">
        <v>1</v>
      </c>
      <c r="F231" s="47">
        <v>1</v>
      </c>
      <c r="G231" s="47">
        <v>0</v>
      </c>
      <c r="H231" s="47">
        <v>1</v>
      </c>
      <c r="I231" s="47" t="s">
        <v>560</v>
      </c>
      <c r="J231" s="47" t="s">
        <v>560</v>
      </c>
      <c r="K231" s="47" t="s">
        <v>983</v>
      </c>
      <c r="L231" s="47" t="s">
        <v>718</v>
      </c>
      <c r="M231" s="47" t="s">
        <v>962</v>
      </c>
      <c r="N231" s="47"/>
      <c r="O231" s="47"/>
    </row>
    <row r="232" spans="1:15" s="48" customFormat="1">
      <c r="A232" s="47" t="s">
        <v>560</v>
      </c>
      <c r="B232" s="47" t="s">
        <v>202</v>
      </c>
      <c r="C232" s="47">
        <v>0</v>
      </c>
      <c r="D232" s="47">
        <v>1</v>
      </c>
      <c r="E232" s="47">
        <v>1</v>
      </c>
      <c r="F232" s="47">
        <v>1</v>
      </c>
      <c r="G232" s="47">
        <v>0</v>
      </c>
      <c r="H232" s="47">
        <v>1</v>
      </c>
      <c r="I232" s="47" t="s">
        <v>560</v>
      </c>
      <c r="J232" s="47" t="s">
        <v>560</v>
      </c>
      <c r="K232" s="47" t="s">
        <v>984</v>
      </c>
      <c r="L232" s="47" t="s">
        <v>772</v>
      </c>
      <c r="M232" s="47" t="s">
        <v>962</v>
      </c>
      <c r="N232" s="47"/>
      <c r="O232" s="47"/>
    </row>
    <row r="233" spans="1:15" s="48" customFormat="1">
      <c r="A233" s="47" t="s">
        <v>560</v>
      </c>
      <c r="B233" s="47" t="s">
        <v>202</v>
      </c>
      <c r="C233" s="47">
        <v>0</v>
      </c>
      <c r="D233" s="47">
        <v>1</v>
      </c>
      <c r="E233" s="47">
        <v>1</v>
      </c>
      <c r="F233" s="47">
        <v>1</v>
      </c>
      <c r="G233" s="47">
        <v>0</v>
      </c>
      <c r="H233" s="47">
        <v>1</v>
      </c>
      <c r="I233" s="47" t="s">
        <v>560</v>
      </c>
      <c r="J233" s="47" t="s">
        <v>560</v>
      </c>
      <c r="K233" s="47" t="s">
        <v>985</v>
      </c>
      <c r="L233" s="47" t="s">
        <v>718</v>
      </c>
      <c r="M233" s="47" t="s">
        <v>962</v>
      </c>
      <c r="N233" s="47"/>
      <c r="O233" s="47"/>
    </row>
    <row r="234" spans="1:15" s="48" customFormat="1">
      <c r="A234" s="47" t="s">
        <v>570</v>
      </c>
      <c r="B234" s="47" t="s">
        <v>202</v>
      </c>
      <c r="C234" s="47">
        <v>0</v>
      </c>
      <c r="D234" s="47">
        <v>1</v>
      </c>
      <c r="E234" s="47">
        <v>0</v>
      </c>
      <c r="F234" s="47">
        <v>0</v>
      </c>
      <c r="G234" s="47">
        <v>1</v>
      </c>
      <c r="H234" s="47">
        <v>1</v>
      </c>
      <c r="I234" s="47" t="s">
        <v>570</v>
      </c>
      <c r="J234" s="47" t="s">
        <v>560</v>
      </c>
      <c r="K234" s="47" t="s">
        <v>986</v>
      </c>
      <c r="L234" s="47" t="s">
        <v>718</v>
      </c>
      <c r="M234" s="47" t="s">
        <v>962</v>
      </c>
      <c r="N234" s="47"/>
      <c r="O234" s="47"/>
    </row>
    <row r="235" spans="1:15" s="48" customFormat="1">
      <c r="A235" s="47" t="s">
        <v>570</v>
      </c>
      <c r="B235" s="47" t="s">
        <v>202</v>
      </c>
      <c r="C235" s="47">
        <v>0</v>
      </c>
      <c r="D235" s="47">
        <v>1</v>
      </c>
      <c r="E235" s="47">
        <v>0</v>
      </c>
      <c r="F235" s="47">
        <v>0</v>
      </c>
      <c r="G235" s="47">
        <v>1</v>
      </c>
      <c r="H235" s="47">
        <v>1</v>
      </c>
      <c r="I235" s="47" t="s">
        <v>630</v>
      </c>
      <c r="J235" s="47" t="s">
        <v>659</v>
      </c>
      <c r="K235" s="47" t="s">
        <v>987</v>
      </c>
      <c r="L235" s="47" t="s">
        <v>794</v>
      </c>
      <c r="M235" s="47" t="s">
        <v>962</v>
      </c>
      <c r="N235" s="47"/>
      <c r="O235" s="47"/>
    </row>
    <row r="236" spans="1:15" s="48" customFormat="1">
      <c r="A236" s="47" t="s">
        <v>570</v>
      </c>
      <c r="B236" s="47" t="s">
        <v>202</v>
      </c>
      <c r="C236" s="47">
        <v>0</v>
      </c>
      <c r="D236" s="47">
        <v>1</v>
      </c>
      <c r="E236" s="47">
        <v>0</v>
      </c>
      <c r="F236" s="47">
        <v>0</v>
      </c>
      <c r="G236" s="47">
        <v>1</v>
      </c>
      <c r="H236" s="47">
        <v>1</v>
      </c>
      <c r="I236" s="47" t="s">
        <v>570</v>
      </c>
      <c r="J236" s="47" t="s">
        <v>560</v>
      </c>
      <c r="K236" s="47" t="s">
        <v>988</v>
      </c>
      <c r="L236" s="47" t="s">
        <v>718</v>
      </c>
      <c r="M236" s="47" t="s">
        <v>962</v>
      </c>
      <c r="N236" s="47"/>
      <c r="O236" s="47"/>
    </row>
    <row r="237" spans="1:15" s="48" customFormat="1">
      <c r="A237" s="47" t="s">
        <v>570</v>
      </c>
      <c r="B237" s="47" t="s">
        <v>202</v>
      </c>
      <c r="C237" s="47">
        <v>0</v>
      </c>
      <c r="D237" s="47">
        <v>1</v>
      </c>
      <c r="E237" s="47">
        <v>0</v>
      </c>
      <c r="F237" s="47">
        <v>0</v>
      </c>
      <c r="G237" s="47">
        <v>1</v>
      </c>
      <c r="H237" s="47">
        <v>1</v>
      </c>
      <c r="I237" s="47" t="s">
        <v>559</v>
      </c>
      <c r="J237" s="47" t="s">
        <v>560</v>
      </c>
      <c r="K237" s="47" t="s">
        <v>989</v>
      </c>
      <c r="L237" s="47" t="s">
        <v>735</v>
      </c>
      <c r="M237" s="47" t="s">
        <v>962</v>
      </c>
      <c r="N237" s="47"/>
      <c r="O237" s="47"/>
    </row>
    <row r="238" spans="1:15" s="48" customFormat="1">
      <c r="A238" s="47" t="s">
        <v>499</v>
      </c>
      <c r="B238" s="47" t="s">
        <v>202</v>
      </c>
      <c r="C238" s="47">
        <v>0</v>
      </c>
      <c r="D238" s="47">
        <v>1</v>
      </c>
      <c r="E238" s="47">
        <v>0</v>
      </c>
      <c r="F238" s="47">
        <v>1</v>
      </c>
      <c r="G238" s="47">
        <v>1</v>
      </c>
      <c r="H238" s="47">
        <v>0</v>
      </c>
      <c r="I238" s="47" t="s">
        <v>499</v>
      </c>
      <c r="J238" s="47" t="s">
        <v>737</v>
      </c>
      <c r="K238" s="47" t="s">
        <v>990</v>
      </c>
      <c r="L238" s="47" t="s">
        <v>991</v>
      </c>
      <c r="M238" s="47" t="s">
        <v>962</v>
      </c>
      <c r="N238" s="47"/>
      <c r="O238" s="47"/>
    </row>
    <row r="239" spans="1:15" s="48" customFormat="1">
      <c r="A239" s="47" t="s">
        <v>499</v>
      </c>
      <c r="B239" s="47" t="s">
        <v>202</v>
      </c>
      <c r="C239" s="47">
        <v>0</v>
      </c>
      <c r="D239" s="47">
        <v>1</v>
      </c>
      <c r="E239" s="47">
        <v>0</v>
      </c>
      <c r="F239" s="47">
        <v>1</v>
      </c>
      <c r="G239" s="47">
        <v>1</v>
      </c>
      <c r="H239" s="47">
        <v>0</v>
      </c>
      <c r="I239" s="47" t="s">
        <v>499</v>
      </c>
      <c r="J239" s="47" t="s">
        <v>737</v>
      </c>
      <c r="K239" s="47" t="s">
        <v>992</v>
      </c>
      <c r="L239" s="47" t="s">
        <v>688</v>
      </c>
      <c r="M239" s="47" t="s">
        <v>962</v>
      </c>
      <c r="N239" s="47"/>
      <c r="O239" s="47"/>
    </row>
    <row r="240" spans="1:15" s="48" customFormat="1">
      <c r="A240" s="47" t="s">
        <v>499</v>
      </c>
      <c r="B240" s="47" t="s">
        <v>202</v>
      </c>
      <c r="C240" s="47">
        <v>0</v>
      </c>
      <c r="D240" s="47">
        <v>1</v>
      </c>
      <c r="E240" s="47">
        <v>0</v>
      </c>
      <c r="F240" s="47">
        <v>1</v>
      </c>
      <c r="G240" s="47">
        <v>1</v>
      </c>
      <c r="H240" s="47">
        <v>0</v>
      </c>
      <c r="I240" s="47" t="s">
        <v>499</v>
      </c>
      <c r="J240" s="47" t="s">
        <v>737</v>
      </c>
      <c r="K240" s="47" t="s">
        <v>993</v>
      </c>
      <c r="L240" s="47" t="s">
        <v>991</v>
      </c>
      <c r="M240" s="47" t="s">
        <v>962</v>
      </c>
      <c r="N240" s="47"/>
      <c r="O240" s="47"/>
    </row>
    <row r="241" spans="1:15" s="48" customFormat="1">
      <c r="A241" s="47" t="s">
        <v>499</v>
      </c>
      <c r="B241" s="47" t="s">
        <v>202</v>
      </c>
      <c r="C241" s="47">
        <v>0</v>
      </c>
      <c r="D241" s="47">
        <v>1</v>
      </c>
      <c r="E241" s="47">
        <v>0</v>
      </c>
      <c r="F241" s="47">
        <v>1</v>
      </c>
      <c r="G241" s="47">
        <v>1</v>
      </c>
      <c r="H241" s="47">
        <v>0</v>
      </c>
      <c r="I241" s="47" t="s">
        <v>499</v>
      </c>
      <c r="J241" s="47" t="s">
        <v>737</v>
      </c>
      <c r="K241" s="47" t="s">
        <v>994</v>
      </c>
      <c r="L241" s="47" t="s">
        <v>704</v>
      </c>
      <c r="M241" s="47" t="s">
        <v>962</v>
      </c>
      <c r="N241" s="47"/>
      <c r="O241" s="47"/>
    </row>
    <row r="242" spans="1:15" s="48" customFormat="1">
      <c r="A242" s="47" t="s">
        <v>593</v>
      </c>
      <c r="B242" s="47" t="s">
        <v>256</v>
      </c>
      <c r="C242" s="47">
        <v>1</v>
      </c>
      <c r="D242" s="47">
        <v>1</v>
      </c>
      <c r="E242" s="47">
        <v>0</v>
      </c>
      <c r="F242" s="47">
        <v>1</v>
      </c>
      <c r="G242" s="47">
        <v>0</v>
      </c>
      <c r="H242" s="47">
        <v>1</v>
      </c>
      <c r="I242" s="47" t="s">
        <v>593</v>
      </c>
      <c r="J242" s="47" t="s">
        <v>680</v>
      </c>
      <c r="K242" s="47" t="s">
        <v>995</v>
      </c>
      <c r="L242" s="47" t="s">
        <v>718</v>
      </c>
      <c r="M242" s="47" t="s">
        <v>962</v>
      </c>
      <c r="N242" s="47"/>
      <c r="O242" s="47"/>
    </row>
    <row r="243" spans="1:15" s="48" customFormat="1">
      <c r="A243" s="47" t="s">
        <v>608</v>
      </c>
      <c r="B243" s="47" t="s">
        <v>256</v>
      </c>
      <c r="C243" s="47">
        <v>1</v>
      </c>
      <c r="D243" s="47">
        <v>0</v>
      </c>
      <c r="E243" s="47">
        <v>1</v>
      </c>
      <c r="F243" s="47">
        <v>1</v>
      </c>
      <c r="G243" s="47">
        <v>0</v>
      </c>
      <c r="H243" s="47">
        <v>0</v>
      </c>
      <c r="I243" s="47" t="s">
        <v>624</v>
      </c>
      <c r="J243" s="47" t="s">
        <v>659</v>
      </c>
      <c r="K243" s="47" t="s">
        <v>996</v>
      </c>
      <c r="L243" s="47" t="s">
        <v>997</v>
      </c>
      <c r="M243" s="47" t="s">
        <v>962</v>
      </c>
      <c r="N243" s="47"/>
      <c r="O243" s="47"/>
    </row>
    <row r="244" spans="1:15" s="48" customFormat="1">
      <c r="A244" s="47" t="s">
        <v>608</v>
      </c>
      <c r="B244" s="47" t="s">
        <v>256</v>
      </c>
      <c r="C244" s="47">
        <v>1</v>
      </c>
      <c r="D244" s="47">
        <v>0</v>
      </c>
      <c r="E244" s="47">
        <v>1</v>
      </c>
      <c r="F244" s="47">
        <v>1</v>
      </c>
      <c r="G244" s="47">
        <v>0</v>
      </c>
      <c r="H244" s="47">
        <v>0</v>
      </c>
      <c r="I244" s="47" t="s">
        <v>608</v>
      </c>
      <c r="J244" s="47" t="s">
        <v>618</v>
      </c>
      <c r="K244" s="47" t="s">
        <v>998</v>
      </c>
      <c r="L244" s="47" t="s">
        <v>718</v>
      </c>
      <c r="M244" s="47" t="s">
        <v>962</v>
      </c>
      <c r="N244" s="47"/>
      <c r="O244" s="47"/>
    </row>
    <row r="245" spans="1:15" s="48" customFormat="1">
      <c r="A245" s="47" t="s">
        <v>608</v>
      </c>
      <c r="B245" s="47" t="s">
        <v>256</v>
      </c>
      <c r="C245" s="47">
        <v>1</v>
      </c>
      <c r="D245" s="47">
        <v>0</v>
      </c>
      <c r="E245" s="47">
        <v>1</v>
      </c>
      <c r="F245" s="47">
        <v>1</v>
      </c>
      <c r="G245" s="47">
        <v>0</v>
      </c>
      <c r="H245" s="47">
        <v>0</v>
      </c>
      <c r="I245" s="47" t="s">
        <v>608</v>
      </c>
      <c r="J245" s="47" t="s">
        <v>618</v>
      </c>
      <c r="K245" s="47" t="s">
        <v>999</v>
      </c>
      <c r="L245" s="47" t="s">
        <v>1000</v>
      </c>
      <c r="M245" s="47" t="s">
        <v>962</v>
      </c>
      <c r="N245" s="47"/>
      <c r="O245" s="47"/>
    </row>
    <row r="246" spans="1:15" s="48" customFormat="1">
      <c r="A246" s="47" t="s">
        <v>608</v>
      </c>
      <c r="B246" s="47" t="s">
        <v>256</v>
      </c>
      <c r="C246" s="47">
        <v>1</v>
      </c>
      <c r="D246" s="47">
        <v>0</v>
      </c>
      <c r="E246" s="47">
        <v>1</v>
      </c>
      <c r="F246" s="47">
        <v>1</v>
      </c>
      <c r="G246" s="47">
        <v>0</v>
      </c>
      <c r="H246" s="47">
        <v>0</v>
      </c>
      <c r="I246" s="47" t="s">
        <v>608</v>
      </c>
      <c r="J246" s="47" t="s">
        <v>618</v>
      </c>
      <c r="K246" s="47" t="s">
        <v>1001</v>
      </c>
      <c r="L246" s="47" t="s">
        <v>829</v>
      </c>
      <c r="M246" s="47" t="s">
        <v>962</v>
      </c>
      <c r="N246" s="47"/>
      <c r="O246" s="47"/>
    </row>
    <row r="247" spans="1:15" s="48" customFormat="1">
      <c r="A247" s="47" t="s">
        <v>567</v>
      </c>
      <c r="B247" s="47" t="s">
        <v>202</v>
      </c>
      <c r="C247" s="47">
        <v>1</v>
      </c>
      <c r="D247" s="47">
        <v>1</v>
      </c>
      <c r="E247" s="47">
        <v>0</v>
      </c>
      <c r="F247" s="47">
        <v>1</v>
      </c>
      <c r="G247" s="47">
        <v>1</v>
      </c>
      <c r="H247" s="47">
        <v>1</v>
      </c>
      <c r="I247" s="47" t="s">
        <v>567</v>
      </c>
      <c r="J247" s="47" t="s">
        <v>560</v>
      </c>
      <c r="K247" s="47" t="s">
        <v>1002</v>
      </c>
      <c r="L247" s="47" t="s">
        <v>1003</v>
      </c>
      <c r="M247" s="47" t="s">
        <v>962</v>
      </c>
      <c r="N247" s="47"/>
      <c r="O247" s="47"/>
    </row>
    <row r="248" spans="1:15" s="48" customFormat="1">
      <c r="A248" s="47" t="s">
        <v>567</v>
      </c>
      <c r="B248" s="47" t="s">
        <v>202</v>
      </c>
      <c r="C248" s="47">
        <v>1</v>
      </c>
      <c r="D248" s="47">
        <v>1</v>
      </c>
      <c r="E248" s="47">
        <v>0</v>
      </c>
      <c r="F248" s="47">
        <v>1</v>
      </c>
      <c r="G248" s="47">
        <v>1</v>
      </c>
      <c r="H248" s="47">
        <v>1</v>
      </c>
      <c r="I248" s="47" t="s">
        <v>567</v>
      </c>
      <c r="J248" s="47" t="s">
        <v>560</v>
      </c>
      <c r="K248" s="47" t="s">
        <v>1004</v>
      </c>
      <c r="L248" s="47" t="s">
        <v>761</v>
      </c>
      <c r="M248" s="47" t="s">
        <v>962</v>
      </c>
      <c r="N248" s="47"/>
      <c r="O248" s="47"/>
    </row>
    <row r="249" spans="1:15" s="48" customFormat="1">
      <c r="A249" s="47" t="s">
        <v>567</v>
      </c>
      <c r="B249" s="47" t="s">
        <v>202</v>
      </c>
      <c r="C249" s="47">
        <v>1</v>
      </c>
      <c r="D249" s="47">
        <v>1</v>
      </c>
      <c r="E249" s="47">
        <v>0</v>
      </c>
      <c r="F249" s="47">
        <v>1</v>
      </c>
      <c r="G249" s="47">
        <v>1</v>
      </c>
      <c r="H249" s="47">
        <v>1</v>
      </c>
      <c r="I249" s="47" t="s">
        <v>567</v>
      </c>
      <c r="J249" s="47" t="s">
        <v>560</v>
      </c>
      <c r="K249" s="47" t="s">
        <v>1005</v>
      </c>
      <c r="L249" s="47" t="s">
        <v>761</v>
      </c>
      <c r="M249" s="47" t="s">
        <v>962</v>
      </c>
      <c r="N249" s="47"/>
      <c r="O249" s="47"/>
    </row>
    <row r="250" spans="1:15" s="48" customFormat="1">
      <c r="A250" s="47" t="s">
        <v>567</v>
      </c>
      <c r="B250" s="47" t="s">
        <v>202</v>
      </c>
      <c r="C250" s="47">
        <v>1</v>
      </c>
      <c r="D250" s="47">
        <v>1</v>
      </c>
      <c r="E250" s="47">
        <v>0</v>
      </c>
      <c r="F250" s="47">
        <v>1</v>
      </c>
      <c r="G250" s="47">
        <v>1</v>
      </c>
      <c r="H250" s="47">
        <v>1</v>
      </c>
      <c r="I250" s="47" t="s">
        <v>603</v>
      </c>
      <c r="J250" s="47" t="s">
        <v>618</v>
      </c>
      <c r="K250" s="47" t="s">
        <v>1006</v>
      </c>
      <c r="L250" s="47" t="s">
        <v>763</v>
      </c>
      <c r="M250" s="47" t="s">
        <v>962</v>
      </c>
      <c r="N250" s="47"/>
      <c r="O250" s="47"/>
    </row>
    <row r="251" spans="1:15" s="48" customFormat="1">
      <c r="A251" s="47" t="s">
        <v>500</v>
      </c>
      <c r="B251" s="47" t="s">
        <v>256</v>
      </c>
      <c r="C251" s="47">
        <v>1</v>
      </c>
      <c r="D251" s="47">
        <v>0</v>
      </c>
      <c r="E251" s="47">
        <v>1</v>
      </c>
      <c r="F251" s="47">
        <v>1</v>
      </c>
      <c r="G251" s="47">
        <v>1</v>
      </c>
      <c r="H251" s="47">
        <v>1</v>
      </c>
      <c r="I251" s="47" t="s">
        <v>500</v>
      </c>
      <c r="J251" s="47" t="s">
        <v>618</v>
      </c>
      <c r="K251" s="47" t="s">
        <v>1007</v>
      </c>
      <c r="L251" s="47" t="s">
        <v>829</v>
      </c>
      <c r="M251" s="47" t="s">
        <v>962</v>
      </c>
      <c r="N251" s="47"/>
      <c r="O251" s="47"/>
    </row>
    <row r="252" spans="1:15" s="48" customFormat="1">
      <c r="A252" s="47" t="s">
        <v>500</v>
      </c>
      <c r="B252" s="47" t="s">
        <v>256</v>
      </c>
      <c r="C252" s="47">
        <v>1</v>
      </c>
      <c r="D252" s="47">
        <v>0</v>
      </c>
      <c r="E252" s="47">
        <v>1</v>
      </c>
      <c r="F252" s="47">
        <v>1</v>
      </c>
      <c r="G252" s="47">
        <v>1</v>
      </c>
      <c r="H252" s="47">
        <v>1</v>
      </c>
      <c r="I252" s="47" t="s">
        <v>581</v>
      </c>
      <c r="J252" s="47" t="s">
        <v>657</v>
      </c>
      <c r="K252" s="47" t="s">
        <v>1007</v>
      </c>
      <c r="L252" s="47" t="s">
        <v>829</v>
      </c>
      <c r="M252" s="47" t="s">
        <v>962</v>
      </c>
      <c r="N252" s="47"/>
      <c r="O252" s="47"/>
    </row>
    <row r="253" spans="1:15" s="48" customFormat="1">
      <c r="A253" s="47" t="s">
        <v>500</v>
      </c>
      <c r="B253" s="47" t="s">
        <v>256</v>
      </c>
      <c r="C253" s="47">
        <v>1</v>
      </c>
      <c r="D253" s="47">
        <v>0</v>
      </c>
      <c r="E253" s="47">
        <v>1</v>
      </c>
      <c r="F253" s="47">
        <v>1</v>
      </c>
      <c r="G253" s="47">
        <v>1</v>
      </c>
      <c r="H253" s="47">
        <v>1</v>
      </c>
      <c r="I253" s="47" t="s">
        <v>608</v>
      </c>
      <c r="J253" s="47" t="s">
        <v>618</v>
      </c>
      <c r="K253" s="47" t="s">
        <v>1007</v>
      </c>
      <c r="L253" s="47" t="s">
        <v>829</v>
      </c>
      <c r="M253" s="47" t="s">
        <v>962</v>
      </c>
      <c r="N253" s="47"/>
      <c r="O253" s="47"/>
    </row>
    <row r="254" spans="1:15" s="48" customFormat="1">
      <c r="A254" s="47" t="s">
        <v>500</v>
      </c>
      <c r="B254" s="47" t="s">
        <v>256</v>
      </c>
      <c r="C254" s="47">
        <v>1</v>
      </c>
      <c r="D254" s="47">
        <v>0</v>
      </c>
      <c r="E254" s="47">
        <v>1</v>
      </c>
      <c r="F254" s="47">
        <v>1</v>
      </c>
      <c r="G254" s="47">
        <v>1</v>
      </c>
      <c r="H254" s="47">
        <v>1</v>
      </c>
      <c r="I254" s="47" t="s">
        <v>605</v>
      </c>
      <c r="J254" s="47" t="s">
        <v>618</v>
      </c>
      <c r="K254" s="47" t="s">
        <v>1008</v>
      </c>
      <c r="L254" s="47" t="s">
        <v>688</v>
      </c>
      <c r="M254" s="47" t="s">
        <v>962</v>
      </c>
      <c r="N254" s="47"/>
      <c r="O254" s="47"/>
    </row>
    <row r="255" spans="1:15" s="48" customFormat="1">
      <c r="A255" s="47" t="s">
        <v>606</v>
      </c>
      <c r="B255" s="47" t="s">
        <v>256</v>
      </c>
      <c r="C255" s="47">
        <v>1</v>
      </c>
      <c r="D255" s="47">
        <v>0</v>
      </c>
      <c r="E255" s="47">
        <v>1</v>
      </c>
      <c r="F255" s="47">
        <v>1</v>
      </c>
      <c r="G255" s="47">
        <v>0</v>
      </c>
      <c r="H255" s="47">
        <v>0</v>
      </c>
      <c r="I255" s="47" t="s">
        <v>901</v>
      </c>
      <c r="J255" s="47" t="s">
        <v>618</v>
      </c>
      <c r="K255" s="47" t="s">
        <v>1009</v>
      </c>
      <c r="L255" s="47" t="s">
        <v>718</v>
      </c>
      <c r="M255" s="47" t="s">
        <v>962</v>
      </c>
      <c r="N255" s="47"/>
      <c r="O255" s="47"/>
    </row>
    <row r="256" spans="1:15" s="48" customFormat="1">
      <c r="A256" s="47" t="s">
        <v>606</v>
      </c>
      <c r="B256" s="47" t="s">
        <v>256</v>
      </c>
      <c r="C256" s="47">
        <v>1</v>
      </c>
      <c r="D256" s="47">
        <v>0</v>
      </c>
      <c r="E256" s="47">
        <v>1</v>
      </c>
      <c r="F256" s="47">
        <v>1</v>
      </c>
      <c r="G256" s="47">
        <v>0</v>
      </c>
      <c r="H256" s="47">
        <v>0</v>
      </c>
      <c r="I256" s="47" t="s">
        <v>606</v>
      </c>
      <c r="J256" s="47" t="s">
        <v>618</v>
      </c>
      <c r="K256" s="47" t="s">
        <v>1010</v>
      </c>
      <c r="L256" s="47" t="s">
        <v>697</v>
      </c>
      <c r="M256" s="47" t="s">
        <v>962</v>
      </c>
      <c r="N256" s="47"/>
      <c r="O256" s="47"/>
    </row>
    <row r="257" spans="1:15" s="48" customFormat="1">
      <c r="A257" s="47" t="s">
        <v>606</v>
      </c>
      <c r="B257" s="47" t="s">
        <v>256</v>
      </c>
      <c r="C257" s="47">
        <v>1</v>
      </c>
      <c r="D257" s="47">
        <v>0</v>
      </c>
      <c r="E257" s="47">
        <v>1</v>
      </c>
      <c r="F257" s="47">
        <v>1</v>
      </c>
      <c r="G257" s="47">
        <v>0</v>
      </c>
      <c r="H257" s="47">
        <v>0</v>
      </c>
      <c r="I257" s="47" t="s">
        <v>606</v>
      </c>
      <c r="J257" s="47" t="s">
        <v>618</v>
      </c>
      <c r="K257" s="47" t="s">
        <v>1011</v>
      </c>
      <c r="L257" s="47" t="s">
        <v>794</v>
      </c>
      <c r="M257" s="47" t="s">
        <v>962</v>
      </c>
      <c r="N257" s="47"/>
      <c r="O257" s="47"/>
    </row>
    <row r="258" spans="1:15" s="48" customFormat="1">
      <c r="A258" s="47" t="s">
        <v>606</v>
      </c>
      <c r="B258" s="47" t="s">
        <v>256</v>
      </c>
      <c r="C258" s="47">
        <v>1</v>
      </c>
      <c r="D258" s="47">
        <v>0</v>
      </c>
      <c r="E258" s="47">
        <v>1</v>
      </c>
      <c r="F258" s="47">
        <v>1</v>
      </c>
      <c r="G258" s="47">
        <v>0</v>
      </c>
      <c r="H258" s="47">
        <v>0</v>
      </c>
      <c r="I258" s="47" t="s">
        <v>606</v>
      </c>
      <c r="J258" s="47" t="s">
        <v>618</v>
      </c>
      <c r="K258" s="47" t="s">
        <v>1012</v>
      </c>
      <c r="L258" s="47" t="s">
        <v>746</v>
      </c>
      <c r="M258" s="47" t="s">
        <v>962</v>
      </c>
      <c r="N258" s="47"/>
      <c r="O258" s="47"/>
    </row>
    <row r="259" spans="1:15" s="48" customFormat="1">
      <c r="A259" s="47" t="s">
        <v>518</v>
      </c>
      <c r="B259" s="47" t="s">
        <v>168</v>
      </c>
      <c r="C259" s="47">
        <v>0</v>
      </c>
      <c r="D259" s="47">
        <v>1</v>
      </c>
      <c r="E259" s="47">
        <v>0</v>
      </c>
      <c r="F259" s="47">
        <v>1</v>
      </c>
      <c r="G259" s="47">
        <v>0</v>
      </c>
      <c r="H259" s="47">
        <v>0</v>
      </c>
      <c r="I259" s="47" t="s">
        <v>518</v>
      </c>
      <c r="J259" s="47" t="s">
        <v>686</v>
      </c>
      <c r="K259" s="47" t="s">
        <v>1013</v>
      </c>
      <c r="L259" s="47" t="s">
        <v>829</v>
      </c>
      <c r="M259" s="47" t="s">
        <v>962</v>
      </c>
      <c r="N259" s="47"/>
      <c r="O259" s="47"/>
    </row>
    <row r="260" spans="1:15" s="48" customFormat="1">
      <c r="A260" s="47" t="s">
        <v>518</v>
      </c>
      <c r="B260" s="47" t="s">
        <v>168</v>
      </c>
      <c r="C260" s="47">
        <v>0</v>
      </c>
      <c r="D260" s="47">
        <v>1</v>
      </c>
      <c r="E260" s="47">
        <v>0</v>
      </c>
      <c r="F260" s="47">
        <v>1</v>
      </c>
      <c r="G260" s="47">
        <v>0</v>
      </c>
      <c r="H260" s="47">
        <v>0</v>
      </c>
      <c r="I260" s="47" t="s">
        <v>518</v>
      </c>
      <c r="J260" s="47" t="s">
        <v>730</v>
      </c>
      <c r="K260" s="47" t="s">
        <v>1014</v>
      </c>
      <c r="L260" s="47" t="s">
        <v>1015</v>
      </c>
      <c r="M260" s="47" t="s">
        <v>962</v>
      </c>
      <c r="N260" s="47"/>
      <c r="O260" s="47"/>
    </row>
    <row r="261" spans="1:15" s="48" customFormat="1">
      <c r="A261" s="47" t="s">
        <v>518</v>
      </c>
      <c r="B261" s="47" t="s">
        <v>168</v>
      </c>
      <c r="C261" s="47">
        <v>0</v>
      </c>
      <c r="D261" s="47">
        <v>1</v>
      </c>
      <c r="E261" s="47">
        <v>0</v>
      </c>
      <c r="F261" s="47">
        <v>1</v>
      </c>
      <c r="G261" s="47">
        <v>0</v>
      </c>
      <c r="H261" s="47">
        <v>0</v>
      </c>
      <c r="I261" s="47" t="s">
        <v>518</v>
      </c>
      <c r="J261" s="47" t="s">
        <v>730</v>
      </c>
      <c r="K261" s="47" t="s">
        <v>1016</v>
      </c>
      <c r="L261" s="47" t="s">
        <v>707</v>
      </c>
      <c r="M261" s="47" t="s">
        <v>962</v>
      </c>
      <c r="N261" s="47"/>
      <c r="O261" s="47"/>
    </row>
    <row r="262" spans="1:15" s="48" customFormat="1">
      <c r="A262" s="47" t="s">
        <v>518</v>
      </c>
      <c r="B262" s="47" t="s">
        <v>168</v>
      </c>
      <c r="C262" s="47">
        <v>0</v>
      </c>
      <c r="D262" s="47">
        <v>1</v>
      </c>
      <c r="E262" s="47">
        <v>0</v>
      </c>
      <c r="F262" s="47">
        <v>1</v>
      </c>
      <c r="G262" s="47">
        <v>0</v>
      </c>
      <c r="H262" s="47">
        <v>0</v>
      </c>
      <c r="I262" s="47" t="s">
        <v>518</v>
      </c>
      <c r="J262" s="47" t="s">
        <v>686</v>
      </c>
      <c r="K262" s="47" t="s">
        <v>1017</v>
      </c>
      <c r="L262" s="47" t="s">
        <v>707</v>
      </c>
      <c r="M262" s="47" t="s">
        <v>962</v>
      </c>
      <c r="N262" s="47"/>
      <c r="O262" s="47"/>
    </row>
    <row r="263" spans="1:15" s="48" customFormat="1">
      <c r="A263" s="47" t="s">
        <v>515</v>
      </c>
      <c r="B263" s="47" t="s">
        <v>202</v>
      </c>
      <c r="C263" s="47">
        <v>1</v>
      </c>
      <c r="D263" s="47">
        <v>1</v>
      </c>
      <c r="E263" s="47">
        <v>0</v>
      </c>
      <c r="F263" s="47">
        <v>0</v>
      </c>
      <c r="G263" s="47">
        <v>1</v>
      </c>
      <c r="H263" s="47">
        <v>0</v>
      </c>
      <c r="I263" s="47" t="s">
        <v>515</v>
      </c>
      <c r="J263" s="47" t="s">
        <v>654</v>
      </c>
      <c r="K263" s="47" t="s">
        <v>1018</v>
      </c>
      <c r="L263" s="47" t="s">
        <v>1019</v>
      </c>
      <c r="M263" s="47" t="s">
        <v>962</v>
      </c>
      <c r="N263" s="47"/>
      <c r="O263" s="47"/>
    </row>
    <row r="264" spans="1:15" s="48" customFormat="1">
      <c r="A264" s="47" t="s">
        <v>515</v>
      </c>
      <c r="B264" s="47" t="s">
        <v>202</v>
      </c>
      <c r="C264" s="47">
        <v>1</v>
      </c>
      <c r="D264" s="47">
        <v>1</v>
      </c>
      <c r="E264" s="47">
        <v>0</v>
      </c>
      <c r="F264" s="47">
        <v>0</v>
      </c>
      <c r="G264" s="47">
        <v>1</v>
      </c>
      <c r="H264" s="47">
        <v>0</v>
      </c>
      <c r="I264" s="47" t="s">
        <v>639</v>
      </c>
      <c r="J264" s="47" t="s">
        <v>686</v>
      </c>
      <c r="K264" s="47" t="s">
        <v>1020</v>
      </c>
      <c r="L264" s="47" t="s">
        <v>724</v>
      </c>
      <c r="M264" s="47" t="s">
        <v>962</v>
      </c>
      <c r="N264" s="47"/>
      <c r="O264" s="47"/>
    </row>
    <row r="265" spans="1:15" s="48" customFormat="1">
      <c r="A265" s="47" t="s">
        <v>515</v>
      </c>
      <c r="B265" s="47" t="s">
        <v>202</v>
      </c>
      <c r="C265" s="47">
        <v>1</v>
      </c>
      <c r="D265" s="47">
        <v>1</v>
      </c>
      <c r="E265" s="47">
        <v>0</v>
      </c>
      <c r="F265" s="47">
        <v>0</v>
      </c>
      <c r="G265" s="47">
        <v>1</v>
      </c>
      <c r="H265" s="47">
        <v>0</v>
      </c>
      <c r="I265" s="47" t="s">
        <v>533</v>
      </c>
      <c r="J265" s="47" t="s">
        <v>737</v>
      </c>
      <c r="K265" s="47" t="s">
        <v>1021</v>
      </c>
      <c r="L265" s="47" t="s">
        <v>718</v>
      </c>
      <c r="M265" s="47" t="s">
        <v>962</v>
      </c>
      <c r="N265" s="47"/>
      <c r="O265" s="47"/>
    </row>
    <row r="266" spans="1:15" s="48" customFormat="1">
      <c r="A266" s="47" t="s">
        <v>515</v>
      </c>
      <c r="B266" s="47" t="s">
        <v>202</v>
      </c>
      <c r="C266" s="47">
        <v>1</v>
      </c>
      <c r="D266" s="47">
        <v>1</v>
      </c>
      <c r="E266" s="47">
        <v>0</v>
      </c>
      <c r="F266" s="47">
        <v>0</v>
      </c>
      <c r="G266" s="47">
        <v>1</v>
      </c>
      <c r="H266" s="47">
        <v>0</v>
      </c>
      <c r="I266" s="47" t="s">
        <v>515</v>
      </c>
      <c r="J266" s="47" t="s">
        <v>654</v>
      </c>
      <c r="K266" s="47" t="s">
        <v>1022</v>
      </c>
      <c r="L266" s="47" t="s">
        <v>718</v>
      </c>
      <c r="M266" s="47" t="s">
        <v>962</v>
      </c>
      <c r="N266" s="47"/>
      <c r="O266" s="47"/>
    </row>
    <row r="267" spans="1:15" s="48" customFormat="1">
      <c r="A267" s="47" t="s">
        <v>632</v>
      </c>
      <c r="B267" s="47" t="s">
        <v>326</v>
      </c>
      <c r="C267" s="47">
        <v>0</v>
      </c>
      <c r="D267" s="47">
        <v>1</v>
      </c>
      <c r="E267" s="47">
        <v>0</v>
      </c>
      <c r="F267" s="47">
        <v>1</v>
      </c>
      <c r="G267" s="47">
        <v>0</v>
      </c>
      <c r="H267" s="47">
        <v>1</v>
      </c>
      <c r="I267" s="47" t="s">
        <v>632</v>
      </c>
      <c r="J267" s="47" t="s">
        <v>686</v>
      </c>
      <c r="K267" s="47" t="s">
        <v>1023</v>
      </c>
      <c r="L267" s="47" t="s">
        <v>827</v>
      </c>
      <c r="M267" s="47" t="s">
        <v>962</v>
      </c>
      <c r="N267" s="47"/>
      <c r="O267" s="47"/>
    </row>
    <row r="268" spans="1:15" s="48" customFormat="1">
      <c r="A268" s="47" t="s">
        <v>632</v>
      </c>
      <c r="B268" s="47" t="s">
        <v>326</v>
      </c>
      <c r="C268" s="47">
        <v>0</v>
      </c>
      <c r="D268" s="47">
        <v>1</v>
      </c>
      <c r="E268" s="47">
        <v>0</v>
      </c>
      <c r="F268" s="47">
        <v>1</v>
      </c>
      <c r="G268" s="47">
        <v>0</v>
      </c>
      <c r="H268" s="47">
        <v>1</v>
      </c>
      <c r="I268" s="47" t="s">
        <v>632</v>
      </c>
      <c r="J268" s="47" t="s">
        <v>686</v>
      </c>
      <c r="K268" s="47" t="s">
        <v>1024</v>
      </c>
      <c r="L268" s="47" t="s">
        <v>827</v>
      </c>
      <c r="M268" s="47" t="s">
        <v>962</v>
      </c>
      <c r="N268" s="47"/>
      <c r="O268" s="47"/>
    </row>
    <row r="269" spans="1:15" s="48" customFormat="1">
      <c r="A269" s="47" t="s">
        <v>632</v>
      </c>
      <c r="B269" s="47" t="s">
        <v>326</v>
      </c>
      <c r="C269" s="47">
        <v>0</v>
      </c>
      <c r="D269" s="47">
        <v>1</v>
      </c>
      <c r="E269" s="47">
        <v>0</v>
      </c>
      <c r="F269" s="47">
        <v>1</v>
      </c>
      <c r="G269" s="47">
        <v>0</v>
      </c>
      <c r="H269" s="47">
        <v>1</v>
      </c>
      <c r="I269" s="47" t="s">
        <v>632</v>
      </c>
      <c r="J269" s="47" t="s">
        <v>686</v>
      </c>
      <c r="K269" s="47" t="s">
        <v>1025</v>
      </c>
      <c r="L269" s="47" t="s">
        <v>827</v>
      </c>
      <c r="M269" s="47" t="s">
        <v>962</v>
      </c>
      <c r="N269" s="47"/>
      <c r="O269" s="47"/>
    </row>
    <row r="270" spans="1:15" s="48" customFormat="1">
      <c r="A270" s="47" t="s">
        <v>632</v>
      </c>
      <c r="B270" s="47" t="s">
        <v>326</v>
      </c>
      <c r="C270" s="47">
        <v>0</v>
      </c>
      <c r="D270" s="47">
        <v>1</v>
      </c>
      <c r="E270" s="47">
        <v>0</v>
      </c>
      <c r="F270" s="47">
        <v>1</v>
      </c>
      <c r="G270" s="47">
        <v>0</v>
      </c>
      <c r="H270" s="47">
        <v>1</v>
      </c>
      <c r="I270" s="47" t="s">
        <v>632</v>
      </c>
      <c r="J270" s="47" t="s">
        <v>686</v>
      </c>
      <c r="K270" s="47" t="s">
        <v>1026</v>
      </c>
      <c r="L270" s="47" t="s">
        <v>1027</v>
      </c>
      <c r="M270" s="47" t="s">
        <v>962</v>
      </c>
      <c r="N270" s="47"/>
      <c r="O270" s="47"/>
    </row>
    <row r="271" spans="1:15" s="48" customFormat="1">
      <c r="A271" s="47" t="s">
        <v>1028</v>
      </c>
      <c r="B271" s="47" t="s">
        <v>168</v>
      </c>
      <c r="C271" s="47">
        <v>0</v>
      </c>
      <c r="D271" s="47">
        <v>0</v>
      </c>
      <c r="E271" s="47">
        <v>1</v>
      </c>
      <c r="F271" s="47">
        <v>1</v>
      </c>
      <c r="G271" s="47">
        <v>0</v>
      </c>
      <c r="H271" s="47">
        <v>1</v>
      </c>
      <c r="I271" s="47" t="s">
        <v>1028</v>
      </c>
      <c r="J271" s="47" t="s">
        <v>730</v>
      </c>
      <c r="K271" s="47" t="s">
        <v>1029</v>
      </c>
      <c r="L271" s="47" t="s">
        <v>688</v>
      </c>
      <c r="M271" s="47" t="s">
        <v>962</v>
      </c>
      <c r="N271" s="47"/>
      <c r="O271" s="47"/>
    </row>
    <row r="272" spans="1:15" s="48" customFormat="1">
      <c r="A272" s="47" t="s">
        <v>1028</v>
      </c>
      <c r="B272" s="47" t="s">
        <v>168</v>
      </c>
      <c r="C272" s="47">
        <v>0</v>
      </c>
      <c r="D272" s="47">
        <v>0</v>
      </c>
      <c r="E272" s="47">
        <v>1</v>
      </c>
      <c r="F272" s="47">
        <v>1</v>
      </c>
      <c r="G272" s="47">
        <v>0</v>
      </c>
      <c r="H272" s="47">
        <v>1</v>
      </c>
      <c r="I272" s="47" t="s">
        <v>1028</v>
      </c>
      <c r="J272" s="47" t="s">
        <v>730</v>
      </c>
      <c r="K272" s="47" t="s">
        <v>1030</v>
      </c>
      <c r="L272" s="47" t="s">
        <v>722</v>
      </c>
      <c r="M272" s="47" t="s">
        <v>962</v>
      </c>
      <c r="N272" s="47"/>
      <c r="O272" s="47"/>
    </row>
    <row r="273" spans="1:15" s="48" customFormat="1">
      <c r="A273" s="47" t="s">
        <v>1028</v>
      </c>
      <c r="B273" s="47" t="s">
        <v>168</v>
      </c>
      <c r="C273" s="47">
        <v>0</v>
      </c>
      <c r="D273" s="47">
        <v>0</v>
      </c>
      <c r="E273" s="47">
        <v>1</v>
      </c>
      <c r="F273" s="47">
        <v>1</v>
      </c>
      <c r="G273" s="47">
        <v>0</v>
      </c>
      <c r="H273" s="47">
        <v>1</v>
      </c>
      <c r="I273" s="47" t="s">
        <v>1028</v>
      </c>
      <c r="J273" s="47" t="s">
        <v>730</v>
      </c>
      <c r="K273" s="47" t="s">
        <v>1031</v>
      </c>
      <c r="L273" s="47" t="s">
        <v>1019</v>
      </c>
      <c r="M273" s="47" t="s">
        <v>962</v>
      </c>
      <c r="N273" s="47"/>
      <c r="O273" s="47"/>
    </row>
    <row r="274" spans="1:15" s="48" customFormat="1">
      <c r="A274" s="47" t="s">
        <v>1028</v>
      </c>
      <c r="B274" s="47" t="s">
        <v>168</v>
      </c>
      <c r="C274" s="47">
        <v>0</v>
      </c>
      <c r="D274" s="47">
        <v>0</v>
      </c>
      <c r="E274" s="47">
        <v>1</v>
      </c>
      <c r="F274" s="47">
        <v>1</v>
      </c>
      <c r="G274" s="47">
        <v>0</v>
      </c>
      <c r="H274" s="47">
        <v>1</v>
      </c>
      <c r="I274" s="47" t="s">
        <v>1028</v>
      </c>
      <c r="J274" s="47" t="s">
        <v>730</v>
      </c>
      <c r="K274" s="47" t="s">
        <v>1032</v>
      </c>
      <c r="L274" s="47" t="s">
        <v>709</v>
      </c>
      <c r="M274" s="47" t="s">
        <v>962</v>
      </c>
      <c r="N274" s="47"/>
      <c r="O274" s="47"/>
    </row>
    <row r="275" spans="1:15" s="48" customFormat="1">
      <c r="A275" s="47" t="s">
        <v>522</v>
      </c>
      <c r="B275" s="47" t="s">
        <v>168</v>
      </c>
      <c r="C275" s="47">
        <v>0</v>
      </c>
      <c r="D275" s="47">
        <v>1</v>
      </c>
      <c r="E275" s="47">
        <v>0</v>
      </c>
      <c r="F275" s="47">
        <v>1</v>
      </c>
      <c r="G275" s="47">
        <v>0</v>
      </c>
      <c r="H275" s="47">
        <v>1</v>
      </c>
      <c r="I275" s="47" t="s">
        <v>522</v>
      </c>
      <c r="J275" s="47" t="s">
        <v>754</v>
      </c>
      <c r="K275" s="47" t="s">
        <v>1033</v>
      </c>
      <c r="L275" s="47" t="s">
        <v>688</v>
      </c>
      <c r="M275" s="47" t="s">
        <v>962</v>
      </c>
      <c r="N275" s="47"/>
      <c r="O275" s="47"/>
    </row>
    <row r="276" spans="1:15" s="48" customFormat="1">
      <c r="A276" s="47" t="s">
        <v>522</v>
      </c>
      <c r="B276" s="47" t="s">
        <v>168</v>
      </c>
      <c r="C276" s="47">
        <v>0</v>
      </c>
      <c r="D276" s="47">
        <v>1</v>
      </c>
      <c r="E276" s="47">
        <v>0</v>
      </c>
      <c r="F276" s="47">
        <v>1</v>
      </c>
      <c r="G276" s="47">
        <v>0</v>
      </c>
      <c r="H276" s="47">
        <v>1</v>
      </c>
      <c r="I276" s="47" t="s">
        <v>522</v>
      </c>
      <c r="J276" s="47" t="s">
        <v>754</v>
      </c>
      <c r="K276" s="47" t="s">
        <v>1034</v>
      </c>
      <c r="L276" s="47" t="s">
        <v>794</v>
      </c>
      <c r="M276" s="47" t="s">
        <v>962</v>
      </c>
      <c r="N276" s="47"/>
      <c r="O276" s="47"/>
    </row>
    <row r="277" spans="1:15" s="48" customFormat="1">
      <c r="A277" s="47" t="s">
        <v>522</v>
      </c>
      <c r="B277" s="47" t="s">
        <v>168</v>
      </c>
      <c r="C277" s="47">
        <v>0</v>
      </c>
      <c r="D277" s="47">
        <v>1</v>
      </c>
      <c r="E277" s="47">
        <v>0</v>
      </c>
      <c r="F277" s="47">
        <v>1</v>
      </c>
      <c r="G277" s="47">
        <v>0</v>
      </c>
      <c r="H277" s="47">
        <v>1</v>
      </c>
      <c r="I277" s="47" t="s">
        <v>1028</v>
      </c>
      <c r="J277" s="47" t="s">
        <v>730</v>
      </c>
      <c r="K277" s="47" t="s">
        <v>1035</v>
      </c>
      <c r="L277" s="47" t="s">
        <v>688</v>
      </c>
      <c r="M277" s="47" t="s">
        <v>962</v>
      </c>
      <c r="N277" s="47"/>
      <c r="O277" s="47"/>
    </row>
    <row r="278" spans="1:15" s="48" customFormat="1">
      <c r="A278" s="47" t="s">
        <v>522</v>
      </c>
      <c r="B278" s="47" t="s">
        <v>168</v>
      </c>
      <c r="C278" s="47">
        <v>0</v>
      </c>
      <c r="D278" s="47">
        <v>1</v>
      </c>
      <c r="E278" s="47">
        <v>0</v>
      </c>
      <c r="F278" s="47">
        <v>1</v>
      </c>
      <c r="G278" s="47">
        <v>0</v>
      </c>
      <c r="H278" s="47">
        <v>1</v>
      </c>
      <c r="I278" s="47" t="s">
        <v>522</v>
      </c>
      <c r="J278" s="47" t="s">
        <v>754</v>
      </c>
      <c r="K278" s="47" t="s">
        <v>1036</v>
      </c>
      <c r="L278" s="47" t="s">
        <v>921</v>
      </c>
      <c r="M278" s="47" t="s">
        <v>962</v>
      </c>
      <c r="N278" s="47"/>
      <c r="O278" s="47"/>
    </row>
    <row r="279" spans="1:15" s="48" customFormat="1">
      <c r="A279" s="47" t="s">
        <v>514</v>
      </c>
      <c r="B279" s="47" t="s">
        <v>168</v>
      </c>
      <c r="C279" s="47">
        <v>1</v>
      </c>
      <c r="D279" s="47">
        <v>0</v>
      </c>
      <c r="E279" s="47">
        <v>0</v>
      </c>
      <c r="F279" s="47">
        <v>1</v>
      </c>
      <c r="G279" s="47">
        <v>1</v>
      </c>
      <c r="H279" s="47">
        <v>1</v>
      </c>
      <c r="I279" s="47" t="s">
        <v>638</v>
      </c>
      <c r="J279" s="47" t="s">
        <v>686</v>
      </c>
      <c r="K279" s="47" t="s">
        <v>1037</v>
      </c>
      <c r="L279" s="47" t="s">
        <v>794</v>
      </c>
      <c r="M279" s="47" t="s">
        <v>962</v>
      </c>
      <c r="N279" s="47"/>
      <c r="O279" s="47"/>
    </row>
    <row r="280" spans="1:15" s="48" customFormat="1">
      <c r="A280" s="47" t="s">
        <v>514</v>
      </c>
      <c r="B280" s="47" t="s">
        <v>168</v>
      </c>
      <c r="C280" s="47">
        <v>1</v>
      </c>
      <c r="D280" s="47">
        <v>0</v>
      </c>
      <c r="E280" s="47">
        <v>0</v>
      </c>
      <c r="F280" s="47">
        <v>1</v>
      </c>
      <c r="G280" s="47">
        <v>1</v>
      </c>
      <c r="H280" s="47">
        <v>1</v>
      </c>
      <c r="I280" s="47" t="s">
        <v>514</v>
      </c>
      <c r="J280" s="47" t="s">
        <v>654</v>
      </c>
      <c r="K280" s="47" t="s">
        <v>1038</v>
      </c>
      <c r="L280" s="47" t="s">
        <v>1039</v>
      </c>
      <c r="M280" s="47" t="s">
        <v>962</v>
      </c>
      <c r="N280" s="47"/>
      <c r="O280" s="47"/>
    </row>
    <row r="281" spans="1:15" s="48" customFormat="1">
      <c r="A281" s="47" t="s">
        <v>514</v>
      </c>
      <c r="B281" s="47" t="s">
        <v>168</v>
      </c>
      <c r="C281" s="47">
        <v>1</v>
      </c>
      <c r="D281" s="47">
        <v>0</v>
      </c>
      <c r="E281" s="47">
        <v>0</v>
      </c>
      <c r="F281" s="47">
        <v>1</v>
      </c>
      <c r="G281" s="47">
        <v>1</v>
      </c>
      <c r="H281" s="47">
        <v>1</v>
      </c>
      <c r="I281" s="47" t="s">
        <v>514</v>
      </c>
      <c r="J281" s="47" t="s">
        <v>654</v>
      </c>
      <c r="K281" s="47" t="s">
        <v>1040</v>
      </c>
      <c r="L281" s="47" t="s">
        <v>707</v>
      </c>
      <c r="M281" s="47" t="s">
        <v>962</v>
      </c>
      <c r="N281" s="47"/>
      <c r="O281" s="47"/>
    </row>
    <row r="282" spans="1:15" s="48" customFormat="1">
      <c r="A282" s="47" t="s">
        <v>514</v>
      </c>
      <c r="B282" s="47" t="s">
        <v>168</v>
      </c>
      <c r="C282" s="47">
        <v>1</v>
      </c>
      <c r="D282" s="47">
        <v>0</v>
      </c>
      <c r="E282" s="47">
        <v>0</v>
      </c>
      <c r="F282" s="47">
        <v>1</v>
      </c>
      <c r="G282" s="47">
        <v>1</v>
      </c>
      <c r="H282" s="47">
        <v>1</v>
      </c>
      <c r="I282" s="47" t="s">
        <v>1041</v>
      </c>
      <c r="J282" s="47" t="s">
        <v>730</v>
      </c>
      <c r="K282" s="47" t="s">
        <v>1042</v>
      </c>
      <c r="L282" s="47" t="s">
        <v>1039</v>
      </c>
      <c r="M282" s="47" t="s">
        <v>962</v>
      </c>
      <c r="N282" s="47"/>
      <c r="O282" s="47"/>
    </row>
    <row r="283" spans="1:15" s="48" customFormat="1">
      <c r="A283" s="47" t="s">
        <v>509</v>
      </c>
      <c r="B283" s="47" t="s">
        <v>202</v>
      </c>
      <c r="C283" s="47">
        <v>1</v>
      </c>
      <c r="D283" s="47">
        <v>0</v>
      </c>
      <c r="E283" s="47">
        <v>0</v>
      </c>
      <c r="F283" s="47">
        <v>1</v>
      </c>
      <c r="G283" s="47">
        <v>0</v>
      </c>
      <c r="H283" s="47">
        <v>0</v>
      </c>
      <c r="I283" s="47" t="s">
        <v>509</v>
      </c>
      <c r="J283" s="47" t="s">
        <v>654</v>
      </c>
      <c r="K283" s="47" t="s">
        <v>1043</v>
      </c>
      <c r="L283" s="47" t="s">
        <v>827</v>
      </c>
      <c r="M283" s="47" t="s">
        <v>962</v>
      </c>
      <c r="N283" s="47"/>
      <c r="O283" s="47"/>
    </row>
    <row r="284" spans="1:15" s="48" customFormat="1">
      <c r="A284" s="47" t="s">
        <v>509</v>
      </c>
      <c r="B284" s="47" t="s">
        <v>202</v>
      </c>
      <c r="C284" s="47">
        <v>1</v>
      </c>
      <c r="D284" s="47">
        <v>0</v>
      </c>
      <c r="E284" s="47">
        <v>0</v>
      </c>
      <c r="F284" s="47">
        <v>1</v>
      </c>
      <c r="G284" s="47">
        <v>0</v>
      </c>
      <c r="H284" s="47">
        <v>0</v>
      </c>
      <c r="I284" s="47" t="s">
        <v>509</v>
      </c>
      <c r="J284" s="47" t="s">
        <v>730</v>
      </c>
      <c r="K284" s="47" t="s">
        <v>1044</v>
      </c>
      <c r="L284" s="47" t="s">
        <v>1045</v>
      </c>
      <c r="M284" s="47" t="s">
        <v>962</v>
      </c>
      <c r="N284" s="47"/>
      <c r="O284" s="47"/>
    </row>
    <row r="285" spans="1:15" s="48" customFormat="1">
      <c r="A285" s="47" t="s">
        <v>509</v>
      </c>
      <c r="B285" s="47" t="s">
        <v>202</v>
      </c>
      <c r="C285" s="47">
        <v>1</v>
      </c>
      <c r="D285" s="47">
        <v>0</v>
      </c>
      <c r="E285" s="47">
        <v>0</v>
      </c>
      <c r="F285" s="47">
        <v>1</v>
      </c>
      <c r="G285" s="47">
        <v>0</v>
      </c>
      <c r="H285" s="47">
        <v>0</v>
      </c>
      <c r="I285" s="47" t="s">
        <v>509</v>
      </c>
      <c r="J285" s="47" t="s">
        <v>730</v>
      </c>
      <c r="K285" s="47" t="s">
        <v>1046</v>
      </c>
      <c r="L285" s="47" t="s">
        <v>974</v>
      </c>
      <c r="M285" s="47" t="s">
        <v>962</v>
      </c>
      <c r="N285" s="47"/>
      <c r="O285" s="47"/>
    </row>
    <row r="286" spans="1:15" s="48" customFormat="1">
      <c r="A286" s="47" t="s">
        <v>509</v>
      </c>
      <c r="B286" s="47" t="s">
        <v>202</v>
      </c>
      <c r="C286" s="47">
        <v>1</v>
      </c>
      <c r="D286" s="47">
        <v>0</v>
      </c>
      <c r="E286" s="47">
        <v>0</v>
      </c>
      <c r="F286" s="47">
        <v>1</v>
      </c>
      <c r="G286" s="47">
        <v>0</v>
      </c>
      <c r="H286" s="47">
        <v>0</v>
      </c>
      <c r="I286" s="47" t="s">
        <v>509</v>
      </c>
      <c r="J286" s="47" t="s">
        <v>654</v>
      </c>
      <c r="K286" s="47" t="s">
        <v>1047</v>
      </c>
      <c r="L286" s="47" t="s">
        <v>997</v>
      </c>
      <c r="M286" s="47" t="s">
        <v>962</v>
      </c>
      <c r="N286" s="47"/>
      <c r="O286" s="47"/>
    </row>
    <row r="287" spans="1:15" s="48" customFormat="1">
      <c r="A287" s="47" t="s">
        <v>1048</v>
      </c>
      <c r="B287" s="47" t="s">
        <v>256</v>
      </c>
      <c r="C287" s="47">
        <v>1</v>
      </c>
      <c r="D287" s="47">
        <v>0</v>
      </c>
      <c r="E287" s="47">
        <v>1</v>
      </c>
      <c r="F287" s="47">
        <v>0</v>
      </c>
      <c r="G287" s="47">
        <v>1</v>
      </c>
      <c r="H287" s="47">
        <v>1</v>
      </c>
      <c r="I287" s="47" t="s">
        <v>1048</v>
      </c>
      <c r="J287" s="47" t="s">
        <v>657</v>
      </c>
      <c r="K287" s="47" t="s">
        <v>1049</v>
      </c>
      <c r="L287" s="47" t="s">
        <v>709</v>
      </c>
      <c r="M287" s="47" t="s">
        <v>962</v>
      </c>
      <c r="N287" s="47"/>
      <c r="O287" s="47"/>
    </row>
    <row r="288" spans="1:15" s="48" customFormat="1">
      <c r="A288" s="47" t="s">
        <v>1048</v>
      </c>
      <c r="B288" s="47" t="s">
        <v>256</v>
      </c>
      <c r="C288" s="47">
        <v>1</v>
      </c>
      <c r="D288" s="47">
        <v>0</v>
      </c>
      <c r="E288" s="47">
        <v>1</v>
      </c>
      <c r="F288" s="47">
        <v>0</v>
      </c>
      <c r="G288" s="47">
        <v>1</v>
      </c>
      <c r="H288" s="47">
        <v>1</v>
      </c>
      <c r="I288" s="47" t="s">
        <v>584</v>
      </c>
      <c r="J288" s="47" t="s">
        <v>657</v>
      </c>
      <c r="K288" s="47" t="s">
        <v>1050</v>
      </c>
      <c r="L288" s="47" t="s">
        <v>707</v>
      </c>
      <c r="M288" s="47" t="s">
        <v>962</v>
      </c>
      <c r="N288" s="47"/>
      <c r="O288" s="47"/>
    </row>
    <row r="289" spans="1:15" s="48" customFormat="1">
      <c r="A289" s="47" t="s">
        <v>1048</v>
      </c>
      <c r="B289" s="47" t="s">
        <v>256</v>
      </c>
      <c r="C289" s="47">
        <v>1</v>
      </c>
      <c r="D289" s="47">
        <v>0</v>
      </c>
      <c r="E289" s="47">
        <v>1</v>
      </c>
      <c r="F289" s="47">
        <v>0</v>
      </c>
      <c r="G289" s="47">
        <v>1</v>
      </c>
      <c r="H289" s="47">
        <v>1</v>
      </c>
      <c r="I289" s="47" t="s">
        <v>1048</v>
      </c>
      <c r="J289" s="47" t="s">
        <v>657</v>
      </c>
      <c r="K289" s="47" t="s">
        <v>1051</v>
      </c>
      <c r="L289" s="47" t="s">
        <v>709</v>
      </c>
      <c r="M289" s="47" t="s">
        <v>962</v>
      </c>
      <c r="N289" s="47"/>
      <c r="O289" s="47"/>
    </row>
    <row r="290" spans="1:15" s="48" customFormat="1">
      <c r="A290" s="47" t="s">
        <v>1048</v>
      </c>
      <c r="B290" s="47" t="s">
        <v>256</v>
      </c>
      <c r="C290" s="47">
        <v>1</v>
      </c>
      <c r="D290" s="47">
        <v>0</v>
      </c>
      <c r="E290" s="47">
        <v>1</v>
      </c>
      <c r="F290" s="47">
        <v>0</v>
      </c>
      <c r="G290" s="47">
        <v>1</v>
      </c>
      <c r="H290" s="47">
        <v>1</v>
      </c>
      <c r="I290" s="47" t="s">
        <v>518</v>
      </c>
      <c r="J290" s="47" t="s">
        <v>686</v>
      </c>
      <c r="K290" s="47" t="s">
        <v>1052</v>
      </c>
      <c r="L290" s="47" t="s">
        <v>827</v>
      </c>
      <c r="M290" s="47" t="s">
        <v>962</v>
      </c>
      <c r="N290" s="47"/>
      <c r="O290" s="47"/>
    </row>
    <row r="291" spans="1:15" s="48" customFormat="1">
      <c r="A291" s="47" t="s">
        <v>582</v>
      </c>
      <c r="B291" s="47" t="s">
        <v>256</v>
      </c>
      <c r="C291" s="47">
        <v>1</v>
      </c>
      <c r="D291" s="47">
        <v>1</v>
      </c>
      <c r="E291" s="47">
        <v>0</v>
      </c>
      <c r="F291" s="47">
        <v>0</v>
      </c>
      <c r="G291" s="47">
        <v>1</v>
      </c>
      <c r="H291" s="47">
        <v>1</v>
      </c>
      <c r="I291" s="47" t="s">
        <v>582</v>
      </c>
      <c r="J291" s="47" t="s">
        <v>657</v>
      </c>
      <c r="K291" s="47" t="s">
        <v>1053</v>
      </c>
      <c r="L291" s="47" t="s">
        <v>735</v>
      </c>
      <c r="M291" s="47" t="s">
        <v>962</v>
      </c>
      <c r="N291" s="47"/>
      <c r="O291" s="47"/>
    </row>
    <row r="292" spans="1:15" s="48" customFormat="1">
      <c r="A292" s="47" t="s">
        <v>582</v>
      </c>
      <c r="B292" s="47" t="s">
        <v>256</v>
      </c>
      <c r="C292" s="47">
        <v>1</v>
      </c>
      <c r="D292" s="47">
        <v>1</v>
      </c>
      <c r="E292" s="47">
        <v>0</v>
      </c>
      <c r="F292" s="47">
        <v>0</v>
      </c>
      <c r="G292" s="47">
        <v>1</v>
      </c>
      <c r="H292" s="47">
        <v>1</v>
      </c>
      <c r="I292" s="47" t="s">
        <v>582</v>
      </c>
      <c r="J292" s="47" t="s">
        <v>657</v>
      </c>
      <c r="K292" s="47" t="s">
        <v>1054</v>
      </c>
      <c r="L292" s="47" t="s">
        <v>756</v>
      </c>
      <c r="M292" s="47" t="s">
        <v>962</v>
      </c>
      <c r="N292" s="47"/>
      <c r="O292" s="47"/>
    </row>
    <row r="293" spans="1:15" s="48" customFormat="1">
      <c r="A293" s="47" t="s">
        <v>582</v>
      </c>
      <c r="B293" s="47" t="s">
        <v>256</v>
      </c>
      <c r="C293" s="47">
        <v>1</v>
      </c>
      <c r="D293" s="47">
        <v>1</v>
      </c>
      <c r="E293" s="47">
        <v>0</v>
      </c>
      <c r="F293" s="47">
        <v>0</v>
      </c>
      <c r="G293" s="47">
        <v>1</v>
      </c>
      <c r="H293" s="47">
        <v>1</v>
      </c>
      <c r="I293" s="47" t="s">
        <v>582</v>
      </c>
      <c r="J293" s="47" t="s">
        <v>657</v>
      </c>
      <c r="K293" s="47" t="s">
        <v>1055</v>
      </c>
      <c r="L293" s="47" t="s">
        <v>707</v>
      </c>
      <c r="M293" s="47" t="s">
        <v>962</v>
      </c>
      <c r="N293" s="47"/>
      <c r="O293" s="47"/>
    </row>
    <row r="294" spans="1:15" s="48" customFormat="1">
      <c r="A294" s="47" t="s">
        <v>582</v>
      </c>
      <c r="B294" s="47" t="s">
        <v>256</v>
      </c>
      <c r="C294" s="47">
        <v>1</v>
      </c>
      <c r="D294" s="47">
        <v>1</v>
      </c>
      <c r="E294" s="47">
        <v>0</v>
      </c>
      <c r="F294" s="47">
        <v>0</v>
      </c>
      <c r="G294" s="47">
        <v>1</v>
      </c>
      <c r="H294" s="47">
        <v>1</v>
      </c>
      <c r="I294" s="47" t="s">
        <v>582</v>
      </c>
      <c r="J294" s="47" t="s">
        <v>657</v>
      </c>
      <c r="K294" s="47" t="s">
        <v>1056</v>
      </c>
      <c r="L294" s="47" t="s">
        <v>735</v>
      </c>
      <c r="M294" s="47" t="s">
        <v>962</v>
      </c>
      <c r="N294" s="47"/>
      <c r="O294" s="47"/>
    </row>
    <row r="295" spans="1:15" s="48" customFormat="1">
      <c r="A295" s="47" t="s">
        <v>574</v>
      </c>
      <c r="B295" s="47" t="s">
        <v>256</v>
      </c>
      <c r="C295" s="47">
        <v>1</v>
      </c>
      <c r="D295" s="47">
        <v>1</v>
      </c>
      <c r="E295" s="47">
        <v>1</v>
      </c>
      <c r="F295" s="47">
        <v>0</v>
      </c>
      <c r="G295" s="47">
        <v>1</v>
      </c>
      <c r="H295" s="47">
        <v>1</v>
      </c>
      <c r="I295" s="47" t="s">
        <v>574</v>
      </c>
      <c r="J295" s="47" t="s">
        <v>657</v>
      </c>
      <c r="K295" s="47" t="s">
        <v>1057</v>
      </c>
      <c r="L295" s="47" t="s">
        <v>794</v>
      </c>
      <c r="M295" s="47" t="s">
        <v>962</v>
      </c>
      <c r="N295" s="47"/>
      <c r="O295" s="47"/>
    </row>
    <row r="296" spans="1:15" s="48" customFormat="1">
      <c r="A296" s="47" t="s">
        <v>574</v>
      </c>
      <c r="B296" s="47" t="s">
        <v>256</v>
      </c>
      <c r="C296" s="47">
        <v>1</v>
      </c>
      <c r="D296" s="47">
        <v>1</v>
      </c>
      <c r="E296" s="47">
        <v>1</v>
      </c>
      <c r="F296" s="47">
        <v>0</v>
      </c>
      <c r="G296" s="47">
        <v>1</v>
      </c>
      <c r="H296" s="47">
        <v>1</v>
      </c>
      <c r="I296" s="47" t="s">
        <v>581</v>
      </c>
      <c r="J296" s="47" t="s">
        <v>657</v>
      </c>
      <c r="K296" s="47" t="s">
        <v>1058</v>
      </c>
      <c r="L296" s="47" t="s">
        <v>724</v>
      </c>
      <c r="M296" s="47" t="s">
        <v>962</v>
      </c>
      <c r="N296" s="47"/>
      <c r="O296" s="47"/>
    </row>
    <row r="297" spans="1:15" s="48" customFormat="1">
      <c r="A297" s="47" t="s">
        <v>574</v>
      </c>
      <c r="B297" s="47" t="s">
        <v>256</v>
      </c>
      <c r="C297" s="47">
        <v>1</v>
      </c>
      <c r="D297" s="47">
        <v>1</v>
      </c>
      <c r="E297" s="47">
        <v>1</v>
      </c>
      <c r="F297" s="47">
        <v>0</v>
      </c>
      <c r="G297" s="47">
        <v>1</v>
      </c>
      <c r="H297" s="47">
        <v>1</v>
      </c>
      <c r="I297" s="47" t="s">
        <v>511</v>
      </c>
      <c r="J297" s="47" t="s">
        <v>730</v>
      </c>
      <c r="K297" s="47" t="s">
        <v>1059</v>
      </c>
      <c r="L297" s="47" t="s">
        <v>712</v>
      </c>
      <c r="M297" s="47" t="s">
        <v>962</v>
      </c>
      <c r="N297" s="47"/>
      <c r="O297" s="47"/>
    </row>
    <row r="298" spans="1:15" s="48" customFormat="1">
      <c r="A298" s="47" t="s">
        <v>574</v>
      </c>
      <c r="B298" s="47" t="s">
        <v>256</v>
      </c>
      <c r="C298" s="47">
        <v>1</v>
      </c>
      <c r="D298" s="47">
        <v>1</v>
      </c>
      <c r="E298" s="47">
        <v>1</v>
      </c>
      <c r="F298" s="47">
        <v>0</v>
      </c>
      <c r="G298" s="47">
        <v>1</v>
      </c>
      <c r="H298" s="47">
        <v>1</v>
      </c>
      <c r="I298" s="47" t="s">
        <v>636</v>
      </c>
      <c r="J298" s="47" t="s">
        <v>686</v>
      </c>
      <c r="K298" s="47" t="s">
        <v>1060</v>
      </c>
      <c r="L298" s="47" t="s">
        <v>827</v>
      </c>
      <c r="M298" s="47" t="s">
        <v>962</v>
      </c>
      <c r="N298" s="47"/>
      <c r="O298" s="47"/>
    </row>
    <row r="299" spans="1:15" s="48" customFormat="1">
      <c r="A299" s="47" t="s">
        <v>586</v>
      </c>
      <c r="B299" s="47" t="s">
        <v>256</v>
      </c>
      <c r="C299" s="47">
        <v>1</v>
      </c>
      <c r="D299" s="47">
        <v>0</v>
      </c>
      <c r="E299" s="47">
        <v>1</v>
      </c>
      <c r="F299" s="47">
        <v>1</v>
      </c>
      <c r="G299" s="47">
        <v>0</v>
      </c>
      <c r="H299" s="47">
        <v>1</v>
      </c>
      <c r="I299" s="47" t="s">
        <v>585</v>
      </c>
      <c r="J299" s="47" t="s">
        <v>657</v>
      </c>
      <c r="K299" s="47" t="s">
        <v>1061</v>
      </c>
      <c r="L299" s="47" t="s">
        <v>688</v>
      </c>
      <c r="M299" s="47" t="s">
        <v>962</v>
      </c>
      <c r="N299" s="47"/>
      <c r="O299" s="47"/>
    </row>
    <row r="300" spans="1:15" s="48" customFormat="1">
      <c r="A300" s="47" t="s">
        <v>586</v>
      </c>
      <c r="B300" s="47" t="s">
        <v>256</v>
      </c>
      <c r="C300" s="47">
        <v>1</v>
      </c>
      <c r="D300" s="47">
        <v>0</v>
      </c>
      <c r="E300" s="47">
        <v>1</v>
      </c>
      <c r="F300" s="47">
        <v>1</v>
      </c>
      <c r="G300" s="47">
        <v>0</v>
      </c>
      <c r="H300" s="47">
        <v>1</v>
      </c>
      <c r="I300" s="47" t="s">
        <v>586</v>
      </c>
      <c r="J300" s="47" t="s">
        <v>657</v>
      </c>
      <c r="K300" s="47" t="s">
        <v>1062</v>
      </c>
      <c r="L300" s="47" t="s">
        <v>688</v>
      </c>
      <c r="M300" s="47" t="s">
        <v>962</v>
      </c>
      <c r="N300" s="47"/>
      <c r="O300" s="47"/>
    </row>
    <row r="301" spans="1:15" s="48" customFormat="1">
      <c r="A301" s="47" t="s">
        <v>586</v>
      </c>
      <c r="B301" s="47" t="s">
        <v>256</v>
      </c>
      <c r="C301" s="47">
        <v>1</v>
      </c>
      <c r="D301" s="47">
        <v>0</v>
      </c>
      <c r="E301" s="47">
        <v>1</v>
      </c>
      <c r="F301" s="47">
        <v>1</v>
      </c>
      <c r="G301" s="47">
        <v>0</v>
      </c>
      <c r="H301" s="47">
        <v>1</v>
      </c>
      <c r="I301" s="47" t="s">
        <v>585</v>
      </c>
      <c r="J301" s="47" t="s">
        <v>657</v>
      </c>
      <c r="K301" s="47" t="s">
        <v>1063</v>
      </c>
      <c r="L301" s="47" t="s">
        <v>688</v>
      </c>
      <c r="M301" s="47" t="s">
        <v>962</v>
      </c>
      <c r="N301" s="47"/>
      <c r="O301" s="47"/>
    </row>
    <row r="302" spans="1:15" s="48" customFormat="1">
      <c r="A302" s="47" t="s">
        <v>586</v>
      </c>
      <c r="B302" s="47" t="s">
        <v>256</v>
      </c>
      <c r="C302" s="47">
        <v>1</v>
      </c>
      <c r="D302" s="47">
        <v>0</v>
      </c>
      <c r="E302" s="47">
        <v>1</v>
      </c>
      <c r="F302" s="47">
        <v>1</v>
      </c>
      <c r="G302" s="47">
        <v>0</v>
      </c>
      <c r="H302" s="47">
        <v>1</v>
      </c>
      <c r="I302" s="47" t="s">
        <v>586</v>
      </c>
      <c r="J302" s="47" t="s">
        <v>657</v>
      </c>
      <c r="K302" s="47" t="s">
        <v>1063</v>
      </c>
      <c r="L302" s="47" t="s">
        <v>688</v>
      </c>
      <c r="M302" s="47" t="s">
        <v>962</v>
      </c>
      <c r="N302" s="47"/>
      <c r="O302" s="47"/>
    </row>
    <row r="303" spans="1:15" s="48" customFormat="1">
      <c r="A303" s="47" t="s">
        <v>657</v>
      </c>
      <c r="B303" s="47" t="s">
        <v>256</v>
      </c>
      <c r="C303" s="47">
        <v>1</v>
      </c>
      <c r="D303" s="47">
        <v>1</v>
      </c>
      <c r="E303" s="47">
        <v>0</v>
      </c>
      <c r="F303" s="47">
        <v>1</v>
      </c>
      <c r="G303" s="47">
        <v>1</v>
      </c>
      <c r="H303" s="47">
        <v>1</v>
      </c>
      <c r="I303" s="47" t="s">
        <v>657</v>
      </c>
      <c r="J303" s="47" t="s">
        <v>657</v>
      </c>
      <c r="K303" s="47" t="s">
        <v>1064</v>
      </c>
      <c r="L303" s="47" t="s">
        <v>827</v>
      </c>
      <c r="M303" s="47" t="s">
        <v>962</v>
      </c>
      <c r="N303" s="47"/>
      <c r="O303" s="47"/>
    </row>
    <row r="304" spans="1:15" s="48" customFormat="1">
      <c r="A304" s="47" t="s">
        <v>657</v>
      </c>
      <c r="B304" s="47" t="s">
        <v>256</v>
      </c>
      <c r="C304" s="47">
        <v>1</v>
      </c>
      <c r="D304" s="47">
        <v>1</v>
      </c>
      <c r="E304" s="47">
        <v>0</v>
      </c>
      <c r="F304" s="47">
        <v>1</v>
      </c>
      <c r="G304" s="47">
        <v>1</v>
      </c>
      <c r="H304" s="47">
        <v>1</v>
      </c>
      <c r="I304" s="47" t="s">
        <v>657</v>
      </c>
      <c r="J304" s="47" t="s">
        <v>657</v>
      </c>
      <c r="K304" s="47" t="s">
        <v>1065</v>
      </c>
      <c r="L304" s="47" t="s">
        <v>688</v>
      </c>
      <c r="M304" s="47" t="s">
        <v>962</v>
      </c>
      <c r="N304" s="47"/>
      <c r="O304" s="47"/>
    </row>
    <row r="305" spans="1:15" s="48" customFormat="1">
      <c r="A305" s="47" t="s">
        <v>657</v>
      </c>
      <c r="B305" s="47" t="s">
        <v>256</v>
      </c>
      <c r="C305" s="47">
        <v>1</v>
      </c>
      <c r="D305" s="47">
        <v>1</v>
      </c>
      <c r="E305" s="47">
        <v>0</v>
      </c>
      <c r="F305" s="47">
        <v>1</v>
      </c>
      <c r="G305" s="47">
        <v>1</v>
      </c>
      <c r="H305" s="47">
        <v>1</v>
      </c>
      <c r="I305" s="47" t="s">
        <v>575</v>
      </c>
      <c r="J305" s="47" t="s">
        <v>657</v>
      </c>
      <c r="K305" s="47" t="s">
        <v>1066</v>
      </c>
      <c r="L305" s="47" t="s">
        <v>707</v>
      </c>
      <c r="M305" s="47" t="s">
        <v>962</v>
      </c>
      <c r="N305" s="47"/>
      <c r="O305" s="47"/>
    </row>
    <row r="306" spans="1:15" s="48" customFormat="1">
      <c r="A306" s="47" t="s">
        <v>657</v>
      </c>
      <c r="B306" s="47" t="s">
        <v>256</v>
      </c>
      <c r="C306" s="47">
        <v>1</v>
      </c>
      <c r="D306" s="47">
        <v>1</v>
      </c>
      <c r="E306" s="47">
        <v>0</v>
      </c>
      <c r="F306" s="47">
        <v>1</v>
      </c>
      <c r="G306" s="47">
        <v>1</v>
      </c>
      <c r="H306" s="47">
        <v>1</v>
      </c>
      <c r="I306" s="47" t="s">
        <v>636</v>
      </c>
      <c r="J306" s="47" t="s">
        <v>686</v>
      </c>
      <c r="K306" s="47" t="s">
        <v>1067</v>
      </c>
      <c r="L306" s="47" t="s">
        <v>688</v>
      </c>
      <c r="M306" s="47" t="s">
        <v>962</v>
      </c>
      <c r="N306" s="47"/>
      <c r="O306" s="47"/>
    </row>
    <row r="307" spans="1:15" s="48" customFormat="1">
      <c r="A307" s="47" t="s">
        <v>660</v>
      </c>
      <c r="B307" s="47" t="s">
        <v>326</v>
      </c>
      <c r="C307" s="47">
        <v>1</v>
      </c>
      <c r="D307" s="47">
        <v>1</v>
      </c>
      <c r="E307" s="47">
        <v>0</v>
      </c>
      <c r="F307" s="47">
        <v>1</v>
      </c>
      <c r="G307" s="47">
        <v>0</v>
      </c>
      <c r="H307" s="47">
        <v>1</v>
      </c>
      <c r="I307" s="47" t="s">
        <v>660</v>
      </c>
      <c r="J307" s="47" t="s">
        <v>686</v>
      </c>
      <c r="K307" s="47" t="s">
        <v>1068</v>
      </c>
      <c r="L307" s="47" t="s">
        <v>718</v>
      </c>
      <c r="M307" s="47" t="s">
        <v>962</v>
      </c>
      <c r="N307" s="47"/>
      <c r="O307" s="47"/>
    </row>
    <row r="308" spans="1:15" s="48" customFormat="1">
      <c r="A308" s="47" t="s">
        <v>660</v>
      </c>
      <c r="B308" s="47" t="s">
        <v>326</v>
      </c>
      <c r="C308" s="47">
        <v>1</v>
      </c>
      <c r="D308" s="47">
        <v>1</v>
      </c>
      <c r="E308" s="47">
        <v>0</v>
      </c>
      <c r="F308" s="47">
        <v>1</v>
      </c>
      <c r="G308" s="47">
        <v>0</v>
      </c>
      <c r="H308" s="47">
        <v>1</v>
      </c>
      <c r="I308" s="47" t="s">
        <v>575</v>
      </c>
      <c r="J308" s="47" t="s">
        <v>657</v>
      </c>
      <c r="K308" s="47" t="s">
        <v>1069</v>
      </c>
      <c r="L308" s="47" t="s">
        <v>718</v>
      </c>
      <c r="M308" s="47" t="s">
        <v>962</v>
      </c>
      <c r="N308" s="47"/>
      <c r="O308" s="47"/>
    </row>
    <row r="309" spans="1:15" s="48" customFormat="1">
      <c r="A309" s="47" t="s">
        <v>660</v>
      </c>
      <c r="B309" s="47" t="s">
        <v>326</v>
      </c>
      <c r="C309" s="47">
        <v>1</v>
      </c>
      <c r="D309" s="47">
        <v>1</v>
      </c>
      <c r="E309" s="47">
        <v>0</v>
      </c>
      <c r="F309" s="47">
        <v>1</v>
      </c>
      <c r="G309" s="47">
        <v>0</v>
      </c>
      <c r="H309" s="47">
        <v>1</v>
      </c>
      <c r="I309" s="47" t="s">
        <v>660</v>
      </c>
      <c r="J309" s="47" t="s">
        <v>686</v>
      </c>
      <c r="K309" s="47" t="s">
        <v>1070</v>
      </c>
      <c r="L309" s="47" t="s">
        <v>724</v>
      </c>
      <c r="M309" s="47" t="s">
        <v>962</v>
      </c>
      <c r="N309" s="47"/>
      <c r="O309" s="47"/>
    </row>
    <row r="310" spans="1:15" s="48" customFormat="1">
      <c r="A310" s="47" t="s">
        <v>660</v>
      </c>
      <c r="B310" s="47" t="s">
        <v>326</v>
      </c>
      <c r="C310" s="47">
        <v>1</v>
      </c>
      <c r="D310" s="47">
        <v>1</v>
      </c>
      <c r="E310" s="47">
        <v>0</v>
      </c>
      <c r="F310" s="47">
        <v>1</v>
      </c>
      <c r="G310" s="47">
        <v>0</v>
      </c>
      <c r="H310" s="47">
        <v>1</v>
      </c>
      <c r="I310" s="47" t="s">
        <v>660</v>
      </c>
      <c r="J310" s="47" t="s">
        <v>686</v>
      </c>
      <c r="K310" s="47" t="s">
        <v>1071</v>
      </c>
      <c r="L310" s="47" t="s">
        <v>794</v>
      </c>
      <c r="M310" s="47" t="s">
        <v>962</v>
      </c>
      <c r="N310" s="47"/>
      <c r="O310" s="47"/>
    </row>
    <row r="311" spans="1:15" s="48" customFormat="1">
      <c r="A311" s="47" t="s">
        <v>545</v>
      </c>
      <c r="B311" s="47" t="s">
        <v>202</v>
      </c>
      <c r="C311" s="47">
        <v>1</v>
      </c>
      <c r="D311" s="47">
        <v>0</v>
      </c>
      <c r="E311" s="47">
        <v>0</v>
      </c>
      <c r="F311" s="47">
        <v>1</v>
      </c>
      <c r="G311" s="47">
        <v>1</v>
      </c>
      <c r="H311" s="47">
        <v>1</v>
      </c>
      <c r="I311" s="47" t="s">
        <v>527</v>
      </c>
      <c r="J311" s="47" t="s">
        <v>730</v>
      </c>
      <c r="K311" s="47" t="s">
        <v>1072</v>
      </c>
      <c r="L311" s="47" t="s">
        <v>746</v>
      </c>
      <c r="M311" s="47" t="s">
        <v>962</v>
      </c>
      <c r="N311" s="47"/>
      <c r="O311" s="47"/>
    </row>
    <row r="312" spans="1:15" s="48" customFormat="1">
      <c r="A312" s="47" t="s">
        <v>545</v>
      </c>
      <c r="B312" s="47" t="s">
        <v>202</v>
      </c>
      <c r="C312" s="47">
        <v>1</v>
      </c>
      <c r="D312" s="47">
        <v>0</v>
      </c>
      <c r="E312" s="47">
        <v>0</v>
      </c>
      <c r="F312" s="47">
        <v>1</v>
      </c>
      <c r="G312" s="47">
        <v>1</v>
      </c>
      <c r="H312" s="47">
        <v>1</v>
      </c>
      <c r="I312" s="47" t="s">
        <v>545</v>
      </c>
      <c r="J312" s="47" t="s">
        <v>773</v>
      </c>
      <c r="K312" s="47" t="s">
        <v>1073</v>
      </c>
      <c r="L312" s="47" t="s">
        <v>746</v>
      </c>
      <c r="M312" s="47" t="s">
        <v>962</v>
      </c>
      <c r="N312" s="47"/>
      <c r="O312" s="47"/>
    </row>
    <row r="313" spans="1:15" s="48" customFormat="1">
      <c r="A313" s="47" t="s">
        <v>545</v>
      </c>
      <c r="B313" s="47" t="s">
        <v>202</v>
      </c>
      <c r="C313" s="47">
        <v>1</v>
      </c>
      <c r="D313" s="47">
        <v>0</v>
      </c>
      <c r="E313" s="47">
        <v>0</v>
      </c>
      <c r="F313" s="47">
        <v>1</v>
      </c>
      <c r="G313" s="47">
        <v>1</v>
      </c>
      <c r="H313" s="47">
        <v>1</v>
      </c>
      <c r="I313" s="47" t="s">
        <v>545</v>
      </c>
      <c r="J313" s="47" t="s">
        <v>773</v>
      </c>
      <c r="K313" s="47" t="s">
        <v>1074</v>
      </c>
      <c r="L313" s="47" t="s">
        <v>716</v>
      </c>
      <c r="M313" s="47" t="s">
        <v>962</v>
      </c>
      <c r="N313" s="47"/>
      <c r="O313" s="47"/>
    </row>
    <row r="314" spans="1:15" s="48" customFormat="1">
      <c r="A314" s="47" t="s">
        <v>545</v>
      </c>
      <c r="B314" s="47" t="s">
        <v>202</v>
      </c>
      <c r="C314" s="47">
        <v>1</v>
      </c>
      <c r="D314" s="47">
        <v>0</v>
      </c>
      <c r="E314" s="47">
        <v>0</v>
      </c>
      <c r="F314" s="47">
        <v>1</v>
      </c>
      <c r="G314" s="47">
        <v>1</v>
      </c>
      <c r="H314" s="47">
        <v>1</v>
      </c>
      <c r="I314" s="47" t="s">
        <v>545</v>
      </c>
      <c r="J314" s="47" t="s">
        <v>773</v>
      </c>
      <c r="K314" s="47" t="s">
        <v>1075</v>
      </c>
      <c r="L314" s="47" t="s">
        <v>688</v>
      </c>
      <c r="M314" s="47" t="s">
        <v>962</v>
      </c>
      <c r="N314" s="47"/>
      <c r="O314" s="47"/>
    </row>
    <row r="315" spans="1:15" s="50" customFormat="1">
      <c r="A315" s="49" t="s">
        <v>643</v>
      </c>
      <c r="B315" s="49" t="s">
        <v>326</v>
      </c>
      <c r="C315" s="49">
        <v>1</v>
      </c>
      <c r="D315" s="49">
        <v>1</v>
      </c>
      <c r="E315" s="49">
        <v>0</v>
      </c>
      <c r="F315" s="49">
        <v>1</v>
      </c>
      <c r="G315" s="49">
        <v>0</v>
      </c>
      <c r="H315" s="49">
        <v>1</v>
      </c>
      <c r="I315" s="49" t="s">
        <v>628</v>
      </c>
      <c r="J315" s="49" t="s">
        <v>659</v>
      </c>
      <c r="K315" s="49" t="s">
        <v>1076</v>
      </c>
      <c r="L315" s="49" t="s">
        <v>746</v>
      </c>
      <c r="M315" s="49" t="s">
        <v>1077</v>
      </c>
      <c r="N315" s="49" t="s">
        <v>692</v>
      </c>
      <c r="O315" s="49"/>
    </row>
    <row r="316" spans="1:15" s="50" customFormat="1">
      <c r="A316" s="49" t="s">
        <v>643</v>
      </c>
      <c r="B316" s="49" t="s">
        <v>326</v>
      </c>
      <c r="C316" s="49">
        <v>1</v>
      </c>
      <c r="D316" s="49">
        <v>1</v>
      </c>
      <c r="E316" s="49">
        <v>0</v>
      </c>
      <c r="F316" s="49">
        <v>1</v>
      </c>
      <c r="G316" s="49">
        <v>0</v>
      </c>
      <c r="H316" s="49">
        <v>1</v>
      </c>
      <c r="I316" s="49" t="s">
        <v>643</v>
      </c>
      <c r="J316" s="49" t="s">
        <v>686</v>
      </c>
      <c r="K316" s="49" t="s">
        <v>1078</v>
      </c>
      <c r="L316" s="49" t="s">
        <v>709</v>
      </c>
      <c r="M316" s="49" t="s">
        <v>1077</v>
      </c>
      <c r="N316" s="49"/>
      <c r="O316" s="49"/>
    </row>
    <row r="317" spans="1:15" s="50" customFormat="1">
      <c r="A317" s="49" t="s">
        <v>643</v>
      </c>
      <c r="B317" s="49" t="s">
        <v>326</v>
      </c>
      <c r="C317" s="49">
        <v>1</v>
      </c>
      <c r="D317" s="49">
        <v>1</v>
      </c>
      <c r="E317" s="49">
        <v>0</v>
      </c>
      <c r="F317" s="49">
        <v>1</v>
      </c>
      <c r="G317" s="49">
        <v>0</v>
      </c>
      <c r="H317" s="49">
        <v>1</v>
      </c>
      <c r="I317" s="49" t="s">
        <v>643</v>
      </c>
      <c r="J317" s="49" t="s">
        <v>686</v>
      </c>
      <c r="K317" s="49" t="s">
        <v>1079</v>
      </c>
      <c r="L317" s="49" t="s">
        <v>709</v>
      </c>
      <c r="M317" s="49" t="s">
        <v>1077</v>
      </c>
      <c r="N317" s="49"/>
      <c r="O317" s="49"/>
    </row>
    <row r="318" spans="1:15" s="50" customFormat="1">
      <c r="A318" s="49" t="s">
        <v>643</v>
      </c>
      <c r="B318" s="49" t="s">
        <v>326</v>
      </c>
      <c r="C318" s="49">
        <v>1</v>
      </c>
      <c r="D318" s="49">
        <v>1</v>
      </c>
      <c r="E318" s="49">
        <v>0</v>
      </c>
      <c r="F318" s="49">
        <v>1</v>
      </c>
      <c r="G318" s="49">
        <v>0</v>
      </c>
      <c r="H318" s="49">
        <v>1</v>
      </c>
      <c r="I318" s="49" t="s">
        <v>575</v>
      </c>
      <c r="J318" s="49" t="s">
        <v>657</v>
      </c>
      <c r="K318" s="49" t="s">
        <v>1080</v>
      </c>
      <c r="L318" s="49" t="s">
        <v>709</v>
      </c>
      <c r="M318" s="49" t="s">
        <v>1077</v>
      </c>
      <c r="N318" s="49"/>
      <c r="O318" s="49"/>
    </row>
    <row r="319" spans="1:15" s="50" customFormat="1">
      <c r="A319" s="49" t="s">
        <v>508</v>
      </c>
      <c r="B319" s="49" t="s">
        <v>168</v>
      </c>
      <c r="C319" s="49">
        <v>1</v>
      </c>
      <c r="D319" s="49">
        <v>0</v>
      </c>
      <c r="E319" s="49">
        <v>0</v>
      </c>
      <c r="F319" s="49">
        <v>0</v>
      </c>
      <c r="G319" s="49">
        <v>0</v>
      </c>
      <c r="H319" s="49">
        <v>1</v>
      </c>
      <c r="I319" s="49" t="s">
        <v>508</v>
      </c>
      <c r="J319" s="49" t="s">
        <v>730</v>
      </c>
      <c r="K319" s="49" t="s">
        <v>1081</v>
      </c>
      <c r="L319" s="49" t="s">
        <v>709</v>
      </c>
      <c r="M319" s="49" t="s">
        <v>1077</v>
      </c>
      <c r="N319" s="49"/>
      <c r="O319" s="49"/>
    </row>
    <row r="320" spans="1:15" s="50" customFormat="1">
      <c r="A320" s="49" t="s">
        <v>508</v>
      </c>
      <c r="B320" s="49" t="s">
        <v>168</v>
      </c>
      <c r="C320" s="49">
        <v>1</v>
      </c>
      <c r="D320" s="49">
        <v>0</v>
      </c>
      <c r="E320" s="49">
        <v>0</v>
      </c>
      <c r="F320" s="49">
        <v>0</v>
      </c>
      <c r="G320" s="49">
        <v>0</v>
      </c>
      <c r="H320" s="49">
        <v>1</v>
      </c>
      <c r="I320" s="49" t="s">
        <v>508</v>
      </c>
      <c r="J320" s="49" t="s">
        <v>730</v>
      </c>
      <c r="K320" s="49" t="s">
        <v>1082</v>
      </c>
      <c r="L320" s="49" t="s">
        <v>709</v>
      </c>
      <c r="M320" s="49" t="s">
        <v>1077</v>
      </c>
      <c r="N320" s="49"/>
      <c r="O320" s="49"/>
    </row>
    <row r="321" spans="1:15" s="50" customFormat="1">
      <c r="A321" s="49" t="s">
        <v>508</v>
      </c>
      <c r="B321" s="49" t="s">
        <v>168</v>
      </c>
      <c r="C321" s="49">
        <v>1</v>
      </c>
      <c r="D321" s="49">
        <v>0</v>
      </c>
      <c r="E321" s="49">
        <v>0</v>
      </c>
      <c r="F321" s="49">
        <v>0</v>
      </c>
      <c r="G321" s="49">
        <v>0</v>
      </c>
      <c r="H321" s="49">
        <v>1</v>
      </c>
      <c r="I321" s="49" t="s">
        <v>508</v>
      </c>
      <c r="J321" s="49" t="s">
        <v>730</v>
      </c>
      <c r="K321" s="49" t="s">
        <v>1083</v>
      </c>
      <c r="L321" s="49" t="s">
        <v>724</v>
      </c>
      <c r="M321" s="49" t="s">
        <v>1077</v>
      </c>
      <c r="N321" s="49"/>
      <c r="O321" s="49"/>
    </row>
    <row r="322" spans="1:15" s="50" customFormat="1">
      <c r="A322" s="49" t="s">
        <v>508</v>
      </c>
      <c r="B322" s="49" t="s">
        <v>168</v>
      </c>
      <c r="C322" s="49">
        <v>1</v>
      </c>
      <c r="D322" s="49">
        <v>0</v>
      </c>
      <c r="E322" s="49">
        <v>0</v>
      </c>
      <c r="F322" s="49">
        <v>0</v>
      </c>
      <c r="G322" s="49">
        <v>0</v>
      </c>
      <c r="H322" s="49">
        <v>1</v>
      </c>
      <c r="I322" s="49" t="s">
        <v>508</v>
      </c>
      <c r="J322" s="49" t="s">
        <v>730</v>
      </c>
      <c r="K322" s="49" t="s">
        <v>1084</v>
      </c>
      <c r="L322" s="49" t="s">
        <v>707</v>
      </c>
      <c r="M322" s="49" t="s">
        <v>1077</v>
      </c>
      <c r="N322" s="49"/>
      <c r="O322" s="49"/>
    </row>
    <row r="323" spans="1:15" s="50" customFormat="1">
      <c r="A323" s="49" t="s">
        <v>640</v>
      </c>
      <c r="B323" s="49" t="s">
        <v>326</v>
      </c>
      <c r="C323" s="49">
        <v>0</v>
      </c>
      <c r="D323" s="49">
        <v>1</v>
      </c>
      <c r="E323" s="49">
        <v>0</v>
      </c>
      <c r="F323" s="49">
        <v>1</v>
      </c>
      <c r="G323" s="49">
        <v>0</v>
      </c>
      <c r="H323" s="49">
        <v>1</v>
      </c>
      <c r="I323" s="49" t="s">
        <v>640</v>
      </c>
      <c r="J323" s="49" t="s">
        <v>686</v>
      </c>
      <c r="K323" s="49" t="s">
        <v>1085</v>
      </c>
      <c r="L323" s="49" t="s">
        <v>724</v>
      </c>
      <c r="M323" s="49" t="s">
        <v>1077</v>
      </c>
      <c r="N323" s="49"/>
      <c r="O323" s="49"/>
    </row>
    <row r="324" spans="1:15" s="50" customFormat="1">
      <c r="A324" s="49" t="s">
        <v>640</v>
      </c>
      <c r="B324" s="49" t="s">
        <v>326</v>
      </c>
      <c r="C324" s="49">
        <v>0</v>
      </c>
      <c r="D324" s="49">
        <v>1</v>
      </c>
      <c r="E324" s="49">
        <v>0</v>
      </c>
      <c r="F324" s="49">
        <v>1</v>
      </c>
      <c r="G324" s="49">
        <v>0</v>
      </c>
      <c r="H324" s="49">
        <v>1</v>
      </c>
      <c r="I324" s="49" t="s">
        <v>640</v>
      </c>
      <c r="J324" s="49" t="s">
        <v>686</v>
      </c>
      <c r="K324" s="49" t="s">
        <v>1086</v>
      </c>
      <c r="L324" s="49" t="s">
        <v>720</v>
      </c>
      <c r="M324" s="49" t="s">
        <v>1077</v>
      </c>
      <c r="N324" s="49"/>
      <c r="O324" s="49"/>
    </row>
    <row r="325" spans="1:15" s="50" customFormat="1">
      <c r="A325" s="49" t="s">
        <v>640</v>
      </c>
      <c r="B325" s="49" t="s">
        <v>326</v>
      </c>
      <c r="C325" s="49">
        <v>0</v>
      </c>
      <c r="D325" s="49">
        <v>1</v>
      </c>
      <c r="E325" s="49">
        <v>0</v>
      </c>
      <c r="F325" s="49">
        <v>1</v>
      </c>
      <c r="G325" s="49">
        <v>0</v>
      </c>
      <c r="H325" s="49">
        <v>1</v>
      </c>
      <c r="I325" s="49" t="s">
        <v>640</v>
      </c>
      <c r="J325" s="49" t="s">
        <v>686</v>
      </c>
      <c r="K325" s="49" t="s">
        <v>1087</v>
      </c>
      <c r="L325" s="49" t="s">
        <v>917</v>
      </c>
      <c r="M325" s="49" t="s">
        <v>1077</v>
      </c>
      <c r="N325" s="49"/>
      <c r="O325" s="49"/>
    </row>
    <row r="326" spans="1:15" s="50" customFormat="1">
      <c r="A326" s="49" t="s">
        <v>640</v>
      </c>
      <c r="B326" s="49" t="s">
        <v>326</v>
      </c>
      <c r="C326" s="49">
        <v>0</v>
      </c>
      <c r="D326" s="49">
        <v>1</v>
      </c>
      <c r="E326" s="49">
        <v>0</v>
      </c>
      <c r="F326" s="49">
        <v>1</v>
      </c>
      <c r="G326" s="49">
        <v>0</v>
      </c>
      <c r="H326" s="49">
        <v>1</v>
      </c>
      <c r="I326" s="49" t="s">
        <v>640</v>
      </c>
      <c r="J326" s="49" t="s">
        <v>686</v>
      </c>
      <c r="K326" s="49" t="s">
        <v>1088</v>
      </c>
      <c r="L326" s="49" t="s">
        <v>707</v>
      </c>
      <c r="M326" s="49" t="s">
        <v>1077</v>
      </c>
      <c r="N326" s="49"/>
      <c r="O326" s="49"/>
    </row>
    <row r="327" spans="1:15" s="50" customFormat="1">
      <c r="A327" s="49" t="s">
        <v>585</v>
      </c>
      <c r="B327" s="49" t="s">
        <v>256</v>
      </c>
      <c r="C327" s="49">
        <v>1</v>
      </c>
      <c r="D327" s="49">
        <v>0</v>
      </c>
      <c r="E327" s="49">
        <v>1</v>
      </c>
      <c r="F327" s="49">
        <v>1</v>
      </c>
      <c r="G327" s="49">
        <v>0</v>
      </c>
      <c r="H327" s="49">
        <v>1</v>
      </c>
      <c r="I327" s="49" t="s">
        <v>585</v>
      </c>
      <c r="J327" s="49" t="s">
        <v>657</v>
      </c>
      <c r="K327" s="49" t="s">
        <v>1089</v>
      </c>
      <c r="L327" s="49" t="s">
        <v>688</v>
      </c>
      <c r="M327" s="49" t="s">
        <v>1077</v>
      </c>
      <c r="N327" s="49"/>
      <c r="O327" s="49"/>
    </row>
    <row r="328" spans="1:15" s="50" customFormat="1">
      <c r="A328" s="49" t="s">
        <v>585</v>
      </c>
      <c r="B328" s="49" t="s">
        <v>256</v>
      </c>
      <c r="C328" s="49">
        <v>1</v>
      </c>
      <c r="D328" s="49">
        <v>0</v>
      </c>
      <c r="E328" s="49">
        <v>1</v>
      </c>
      <c r="F328" s="49">
        <v>1</v>
      </c>
      <c r="G328" s="49">
        <v>0</v>
      </c>
      <c r="H328" s="49">
        <v>1</v>
      </c>
      <c r="I328" s="49" t="s">
        <v>585</v>
      </c>
      <c r="J328" s="49" t="s">
        <v>657</v>
      </c>
      <c r="K328" s="49" t="s">
        <v>1090</v>
      </c>
      <c r="L328" s="49" t="s">
        <v>722</v>
      </c>
      <c r="M328" s="49" t="s">
        <v>1077</v>
      </c>
      <c r="N328" s="49"/>
      <c r="O328" s="49"/>
    </row>
    <row r="329" spans="1:15" s="50" customFormat="1">
      <c r="A329" s="49" t="s">
        <v>585</v>
      </c>
      <c r="B329" s="49" t="s">
        <v>256</v>
      </c>
      <c r="C329" s="49">
        <v>1</v>
      </c>
      <c r="D329" s="49">
        <v>0</v>
      </c>
      <c r="E329" s="49">
        <v>1</v>
      </c>
      <c r="F329" s="49">
        <v>1</v>
      </c>
      <c r="G329" s="49">
        <v>0</v>
      </c>
      <c r="H329" s="49">
        <v>1</v>
      </c>
      <c r="I329" s="49" t="s">
        <v>585</v>
      </c>
      <c r="J329" s="49" t="s">
        <v>657</v>
      </c>
      <c r="K329" s="49" t="s">
        <v>1091</v>
      </c>
      <c r="L329" s="49" t="s">
        <v>688</v>
      </c>
      <c r="M329" s="49" t="s">
        <v>1077</v>
      </c>
      <c r="N329" s="49"/>
      <c r="O329" s="49"/>
    </row>
    <row r="330" spans="1:15" s="50" customFormat="1">
      <c r="A330" s="49" t="s">
        <v>585</v>
      </c>
      <c r="B330" s="49" t="s">
        <v>256</v>
      </c>
      <c r="C330" s="49">
        <v>1</v>
      </c>
      <c r="D330" s="49">
        <v>0</v>
      </c>
      <c r="E330" s="49">
        <v>1</v>
      </c>
      <c r="F330" s="49">
        <v>1</v>
      </c>
      <c r="G330" s="49">
        <v>0</v>
      </c>
      <c r="H330" s="49">
        <v>1</v>
      </c>
      <c r="I330" s="49" t="s">
        <v>577</v>
      </c>
      <c r="J330" s="49" t="s">
        <v>657</v>
      </c>
      <c r="K330" s="49" t="s">
        <v>1092</v>
      </c>
      <c r="L330" s="49" t="s">
        <v>688</v>
      </c>
      <c r="M330" s="49" t="s">
        <v>1077</v>
      </c>
      <c r="N330" s="49"/>
      <c r="O330" s="49"/>
    </row>
    <row r="331" spans="1:15" s="50" customFormat="1">
      <c r="A331" s="49" t="s">
        <v>580</v>
      </c>
      <c r="B331" s="49" t="s">
        <v>256</v>
      </c>
      <c r="C331" s="49">
        <v>1</v>
      </c>
      <c r="D331" s="49">
        <v>1</v>
      </c>
      <c r="E331" s="49">
        <v>0</v>
      </c>
      <c r="F331" s="49">
        <v>1</v>
      </c>
      <c r="G331" s="49">
        <v>0</v>
      </c>
      <c r="H331" s="49">
        <v>1</v>
      </c>
      <c r="I331" s="49" t="s">
        <v>580</v>
      </c>
      <c r="J331" s="49" t="s">
        <v>657</v>
      </c>
      <c r="K331" s="49" t="s">
        <v>1093</v>
      </c>
      <c r="L331" s="49" t="s">
        <v>709</v>
      </c>
      <c r="M331" s="49" t="s">
        <v>1077</v>
      </c>
      <c r="N331" s="49"/>
      <c r="O331" s="49"/>
    </row>
    <row r="332" spans="1:15" s="50" customFormat="1">
      <c r="A332" s="49" t="s">
        <v>580</v>
      </c>
      <c r="B332" s="49" t="s">
        <v>256</v>
      </c>
      <c r="C332" s="49">
        <v>1</v>
      </c>
      <c r="D332" s="49">
        <v>1</v>
      </c>
      <c r="E332" s="49">
        <v>0</v>
      </c>
      <c r="F332" s="49">
        <v>1</v>
      </c>
      <c r="G332" s="49">
        <v>0</v>
      </c>
      <c r="H332" s="49">
        <v>1</v>
      </c>
      <c r="I332" s="49" t="s">
        <v>580</v>
      </c>
      <c r="J332" s="49" t="s">
        <v>657</v>
      </c>
      <c r="K332" s="49" t="s">
        <v>1094</v>
      </c>
      <c r="L332" s="49" t="s">
        <v>997</v>
      </c>
      <c r="M332" s="49" t="s">
        <v>1077</v>
      </c>
      <c r="N332" s="49"/>
      <c r="O332" s="49"/>
    </row>
    <row r="333" spans="1:15" s="50" customFormat="1">
      <c r="A333" s="49" t="s">
        <v>580</v>
      </c>
      <c r="B333" s="49" t="s">
        <v>256</v>
      </c>
      <c r="C333" s="49">
        <v>1</v>
      </c>
      <c r="D333" s="49">
        <v>1</v>
      </c>
      <c r="E333" s="49">
        <v>0</v>
      </c>
      <c r="F333" s="49">
        <v>1</v>
      </c>
      <c r="G333" s="49">
        <v>0</v>
      </c>
      <c r="H333" s="49">
        <v>1</v>
      </c>
      <c r="I333" s="49" t="s">
        <v>580</v>
      </c>
      <c r="J333" s="49" t="s">
        <v>657</v>
      </c>
      <c r="K333" s="49" t="s">
        <v>1095</v>
      </c>
      <c r="L333" s="49" t="s">
        <v>709</v>
      </c>
      <c r="M333" s="49" t="s">
        <v>1077</v>
      </c>
      <c r="N333" s="49"/>
      <c r="O333" s="49"/>
    </row>
    <row r="334" spans="1:15" s="50" customFormat="1">
      <c r="A334" s="49" t="s">
        <v>580</v>
      </c>
      <c r="B334" s="49" t="s">
        <v>256</v>
      </c>
      <c r="C334" s="49">
        <v>1</v>
      </c>
      <c r="D334" s="49">
        <v>1</v>
      </c>
      <c r="E334" s="49">
        <v>0</v>
      </c>
      <c r="F334" s="49">
        <v>1</v>
      </c>
      <c r="G334" s="49">
        <v>0</v>
      </c>
      <c r="H334" s="49">
        <v>1</v>
      </c>
      <c r="I334" s="49" t="s">
        <v>580</v>
      </c>
      <c r="J334" s="49" t="s">
        <v>657</v>
      </c>
      <c r="K334" s="49" t="s">
        <v>1096</v>
      </c>
      <c r="L334" s="49" t="s">
        <v>709</v>
      </c>
      <c r="M334" s="49" t="s">
        <v>1077</v>
      </c>
      <c r="N334" s="49"/>
      <c r="O334" s="49"/>
    </row>
    <row r="335" spans="1:15" s="50" customFormat="1">
      <c r="A335" s="49" t="s">
        <v>498</v>
      </c>
      <c r="B335" s="49" t="s">
        <v>168</v>
      </c>
      <c r="C335" s="49">
        <v>1</v>
      </c>
      <c r="D335" s="49">
        <v>0</v>
      </c>
      <c r="E335" s="49">
        <v>0</v>
      </c>
      <c r="F335" s="49">
        <v>0</v>
      </c>
      <c r="G335" s="49">
        <v>0</v>
      </c>
      <c r="H335" s="49">
        <v>1</v>
      </c>
      <c r="I335" s="49" t="s">
        <v>498</v>
      </c>
      <c r="J335" s="49" t="s">
        <v>730</v>
      </c>
      <c r="K335" s="49" t="s">
        <v>1097</v>
      </c>
      <c r="L335" s="49" t="s">
        <v>761</v>
      </c>
      <c r="M335" s="49" t="s">
        <v>1077</v>
      </c>
      <c r="N335" s="49"/>
      <c r="O335" s="49"/>
    </row>
    <row r="336" spans="1:15" s="50" customFormat="1">
      <c r="A336" s="49" t="s">
        <v>498</v>
      </c>
      <c r="B336" s="49" t="s">
        <v>168</v>
      </c>
      <c r="C336" s="49">
        <v>1</v>
      </c>
      <c r="D336" s="49">
        <v>0</v>
      </c>
      <c r="E336" s="49">
        <v>0</v>
      </c>
      <c r="F336" s="49">
        <v>0</v>
      </c>
      <c r="G336" s="49">
        <v>0</v>
      </c>
      <c r="H336" s="49">
        <v>1</v>
      </c>
      <c r="I336" s="49" t="s">
        <v>498</v>
      </c>
      <c r="J336" s="49" t="s">
        <v>730</v>
      </c>
      <c r="K336" s="49" t="s">
        <v>1098</v>
      </c>
      <c r="L336" s="49" t="s">
        <v>761</v>
      </c>
      <c r="M336" s="49" t="s">
        <v>1077</v>
      </c>
      <c r="N336" s="49"/>
      <c r="O336" s="49"/>
    </row>
    <row r="337" spans="1:15" s="50" customFormat="1">
      <c r="A337" s="49" t="s">
        <v>498</v>
      </c>
      <c r="B337" s="49" t="s">
        <v>168</v>
      </c>
      <c r="C337" s="49">
        <v>1</v>
      </c>
      <c r="D337" s="49">
        <v>0</v>
      </c>
      <c r="E337" s="49">
        <v>0</v>
      </c>
      <c r="F337" s="49">
        <v>0</v>
      </c>
      <c r="G337" s="49">
        <v>0</v>
      </c>
      <c r="H337" s="49">
        <v>1</v>
      </c>
      <c r="I337" s="49" t="s">
        <v>498</v>
      </c>
      <c r="J337" s="49" t="s">
        <v>730</v>
      </c>
      <c r="K337" s="49" t="s">
        <v>1099</v>
      </c>
      <c r="L337" s="49" t="s">
        <v>794</v>
      </c>
      <c r="M337" s="49" t="s">
        <v>1077</v>
      </c>
      <c r="N337" s="49"/>
      <c r="O337" s="49"/>
    </row>
    <row r="338" spans="1:15" s="50" customFormat="1">
      <c r="A338" s="49" t="s">
        <v>498</v>
      </c>
      <c r="B338" s="49" t="s">
        <v>168</v>
      </c>
      <c r="C338" s="49">
        <v>1</v>
      </c>
      <c r="D338" s="49">
        <v>0</v>
      </c>
      <c r="E338" s="49">
        <v>0</v>
      </c>
      <c r="F338" s="49">
        <v>0</v>
      </c>
      <c r="G338" s="49">
        <v>0</v>
      </c>
      <c r="H338" s="49">
        <v>1</v>
      </c>
      <c r="I338" s="49" t="s">
        <v>498</v>
      </c>
      <c r="J338" s="49" t="s">
        <v>730</v>
      </c>
      <c r="K338" s="49" t="s">
        <v>1100</v>
      </c>
      <c r="L338" s="49" t="s">
        <v>724</v>
      </c>
      <c r="M338" s="49" t="s">
        <v>1077</v>
      </c>
      <c r="N338" s="49"/>
      <c r="O338" s="49"/>
    </row>
    <row r="339" spans="1:15" s="50" customFormat="1">
      <c r="A339" s="49" t="s">
        <v>610</v>
      </c>
      <c r="B339" s="49" t="s">
        <v>256</v>
      </c>
      <c r="C339" s="49">
        <v>0</v>
      </c>
      <c r="D339" s="49">
        <v>1</v>
      </c>
      <c r="E339" s="49">
        <v>0</v>
      </c>
      <c r="F339" s="49">
        <v>0</v>
      </c>
      <c r="G339" s="49">
        <v>1</v>
      </c>
      <c r="H339" s="49">
        <v>1</v>
      </c>
      <c r="I339" s="49" t="s">
        <v>610</v>
      </c>
      <c r="J339" s="49" t="s">
        <v>618</v>
      </c>
      <c r="K339" s="49" t="s">
        <v>1101</v>
      </c>
      <c r="L339" s="49" t="s">
        <v>718</v>
      </c>
      <c r="M339" s="49" t="s">
        <v>1077</v>
      </c>
      <c r="N339" s="49"/>
      <c r="O339" s="49"/>
    </row>
    <row r="340" spans="1:15" s="50" customFormat="1">
      <c r="A340" s="49" t="s">
        <v>610</v>
      </c>
      <c r="B340" s="49" t="s">
        <v>256</v>
      </c>
      <c r="C340" s="49">
        <v>0</v>
      </c>
      <c r="D340" s="49">
        <v>1</v>
      </c>
      <c r="E340" s="49">
        <v>0</v>
      </c>
      <c r="F340" s="49">
        <v>0</v>
      </c>
      <c r="G340" s="49">
        <v>1</v>
      </c>
      <c r="H340" s="49">
        <v>1</v>
      </c>
      <c r="I340" s="49" t="s">
        <v>610</v>
      </c>
      <c r="J340" s="49" t="s">
        <v>618</v>
      </c>
      <c r="K340" s="49" t="s">
        <v>1102</v>
      </c>
      <c r="L340" s="49" t="s">
        <v>829</v>
      </c>
      <c r="M340" s="49" t="s">
        <v>1077</v>
      </c>
      <c r="N340" s="49"/>
      <c r="O340" s="49"/>
    </row>
    <row r="341" spans="1:15" s="50" customFormat="1">
      <c r="A341" s="49" t="s">
        <v>610</v>
      </c>
      <c r="B341" s="49" t="s">
        <v>256</v>
      </c>
      <c r="C341" s="49">
        <v>0</v>
      </c>
      <c r="D341" s="49">
        <v>1</v>
      </c>
      <c r="E341" s="49">
        <v>0</v>
      </c>
      <c r="F341" s="49">
        <v>0</v>
      </c>
      <c r="G341" s="49">
        <v>1</v>
      </c>
      <c r="H341" s="49">
        <v>1</v>
      </c>
      <c r="I341" s="49" t="s">
        <v>589</v>
      </c>
      <c r="J341" s="49" t="s">
        <v>680</v>
      </c>
      <c r="K341" s="49" t="s">
        <v>1103</v>
      </c>
      <c r="L341" s="49" t="s">
        <v>714</v>
      </c>
      <c r="M341" s="49" t="s">
        <v>1077</v>
      </c>
      <c r="N341" s="49"/>
      <c r="O341" s="49"/>
    </row>
    <row r="342" spans="1:15" s="50" customFormat="1">
      <c r="A342" s="49" t="s">
        <v>610</v>
      </c>
      <c r="B342" s="49" t="s">
        <v>256</v>
      </c>
      <c r="C342" s="49">
        <v>0</v>
      </c>
      <c r="D342" s="49">
        <v>1</v>
      </c>
      <c r="E342" s="49">
        <v>0</v>
      </c>
      <c r="F342" s="49">
        <v>0</v>
      </c>
      <c r="G342" s="49">
        <v>1</v>
      </c>
      <c r="H342" s="49">
        <v>1</v>
      </c>
      <c r="I342" s="49" t="s">
        <v>610</v>
      </c>
      <c r="J342" s="49" t="s">
        <v>618</v>
      </c>
      <c r="K342" s="49" t="s">
        <v>1104</v>
      </c>
      <c r="L342" s="49" t="s">
        <v>682</v>
      </c>
      <c r="M342" s="49" t="s">
        <v>1077</v>
      </c>
      <c r="N342" s="49"/>
      <c r="O342" s="49"/>
    </row>
    <row r="343" spans="1:15" s="50" customFormat="1">
      <c r="A343" s="49" t="s">
        <v>517</v>
      </c>
      <c r="B343" s="49" t="s">
        <v>202</v>
      </c>
      <c r="C343" s="49">
        <v>1</v>
      </c>
      <c r="D343" s="49">
        <v>1</v>
      </c>
      <c r="E343" s="49">
        <v>0</v>
      </c>
      <c r="F343" s="49">
        <v>0</v>
      </c>
      <c r="G343" s="49">
        <v>1</v>
      </c>
      <c r="H343" s="49">
        <v>0</v>
      </c>
      <c r="I343" s="49" t="s">
        <v>618</v>
      </c>
      <c r="J343" s="49" t="s">
        <v>618</v>
      </c>
      <c r="K343" s="49" t="s">
        <v>1105</v>
      </c>
      <c r="L343" s="49" t="s">
        <v>733</v>
      </c>
      <c r="M343" s="49" t="s">
        <v>1077</v>
      </c>
      <c r="N343" s="49"/>
      <c r="O343" s="49"/>
    </row>
    <row r="344" spans="1:15" s="50" customFormat="1">
      <c r="A344" s="49" t="s">
        <v>517</v>
      </c>
      <c r="B344" s="49" t="s">
        <v>202</v>
      </c>
      <c r="C344" s="49">
        <v>1</v>
      </c>
      <c r="D344" s="49">
        <v>1</v>
      </c>
      <c r="E344" s="49">
        <v>0</v>
      </c>
      <c r="F344" s="49">
        <v>0</v>
      </c>
      <c r="G344" s="49">
        <v>1</v>
      </c>
      <c r="H344" s="49">
        <v>0</v>
      </c>
      <c r="I344" s="49" t="s">
        <v>517</v>
      </c>
      <c r="J344" s="49" t="s">
        <v>730</v>
      </c>
      <c r="K344" s="49" t="s">
        <v>1105</v>
      </c>
      <c r="L344" s="49" t="s">
        <v>733</v>
      </c>
      <c r="M344" s="49" t="s">
        <v>1077</v>
      </c>
      <c r="N344" s="49"/>
      <c r="O344" s="49"/>
    </row>
    <row r="345" spans="1:15" s="50" customFormat="1">
      <c r="A345" s="49" t="s">
        <v>517</v>
      </c>
      <c r="B345" s="49" t="s">
        <v>202</v>
      </c>
      <c r="C345" s="49">
        <v>1</v>
      </c>
      <c r="D345" s="49">
        <v>1</v>
      </c>
      <c r="E345" s="49">
        <v>0</v>
      </c>
      <c r="F345" s="49">
        <v>0</v>
      </c>
      <c r="G345" s="49">
        <v>1</v>
      </c>
      <c r="H345" s="49">
        <v>0</v>
      </c>
      <c r="I345" s="49" t="s">
        <v>626</v>
      </c>
      <c r="J345" s="49" t="s">
        <v>659</v>
      </c>
      <c r="K345" s="49" t="s">
        <v>1105</v>
      </c>
      <c r="L345" s="49" t="s">
        <v>733</v>
      </c>
      <c r="M345" s="49" t="s">
        <v>1077</v>
      </c>
      <c r="N345" s="49"/>
      <c r="O345" s="49"/>
    </row>
    <row r="346" spans="1:15" s="50" customFormat="1">
      <c r="A346" s="49" t="s">
        <v>517</v>
      </c>
      <c r="B346" s="49" t="s">
        <v>202</v>
      </c>
      <c r="C346" s="49">
        <v>1</v>
      </c>
      <c r="D346" s="49">
        <v>1</v>
      </c>
      <c r="E346" s="49">
        <v>0</v>
      </c>
      <c r="F346" s="49">
        <v>0</v>
      </c>
      <c r="G346" s="49">
        <v>1</v>
      </c>
      <c r="H346" s="49">
        <v>0</v>
      </c>
      <c r="I346" s="49" t="s">
        <v>517</v>
      </c>
      <c r="J346" s="49" t="s">
        <v>654</v>
      </c>
      <c r="K346" s="49" t="s">
        <v>1106</v>
      </c>
      <c r="L346" s="49" t="s">
        <v>813</v>
      </c>
      <c r="M346" s="49" t="s">
        <v>1077</v>
      </c>
      <c r="N346" s="49"/>
      <c r="O346" s="49"/>
    </row>
    <row r="347" spans="1:15" s="50" customFormat="1">
      <c r="A347" s="49" t="s">
        <v>531</v>
      </c>
      <c r="B347" s="49" t="s">
        <v>202</v>
      </c>
      <c r="C347" s="49">
        <v>1</v>
      </c>
      <c r="D347" s="49">
        <v>1</v>
      </c>
      <c r="E347" s="49">
        <v>1</v>
      </c>
      <c r="F347" s="49">
        <v>0</v>
      </c>
      <c r="G347" s="49">
        <v>1</v>
      </c>
      <c r="H347" s="49">
        <v>0</v>
      </c>
      <c r="I347" s="49" t="s">
        <v>630</v>
      </c>
      <c r="J347" s="49" t="s">
        <v>659</v>
      </c>
      <c r="K347" s="49" t="s">
        <v>1107</v>
      </c>
      <c r="L347" s="49" t="s">
        <v>794</v>
      </c>
      <c r="M347" s="49" t="s">
        <v>1077</v>
      </c>
      <c r="N347" s="49"/>
      <c r="O347" s="49"/>
    </row>
    <row r="348" spans="1:15" s="50" customFormat="1">
      <c r="A348" s="49" t="s">
        <v>531</v>
      </c>
      <c r="B348" s="49" t="s">
        <v>202</v>
      </c>
      <c r="C348" s="49">
        <v>1</v>
      </c>
      <c r="D348" s="49">
        <v>1</v>
      </c>
      <c r="E348" s="49">
        <v>1</v>
      </c>
      <c r="F348" s="49">
        <v>0</v>
      </c>
      <c r="G348" s="49">
        <v>1</v>
      </c>
      <c r="H348" s="49">
        <v>0</v>
      </c>
      <c r="I348" s="49" t="s">
        <v>531</v>
      </c>
      <c r="J348" s="49" t="s">
        <v>737</v>
      </c>
      <c r="K348" s="49" t="s">
        <v>1108</v>
      </c>
      <c r="L348" s="49" t="s">
        <v>1109</v>
      </c>
      <c r="M348" s="49" t="s">
        <v>1077</v>
      </c>
      <c r="N348" s="49"/>
      <c r="O348" s="49"/>
    </row>
    <row r="349" spans="1:15" s="50" customFormat="1">
      <c r="A349" s="49" t="s">
        <v>531</v>
      </c>
      <c r="B349" s="49" t="s">
        <v>202</v>
      </c>
      <c r="C349" s="49">
        <v>1</v>
      </c>
      <c r="D349" s="49">
        <v>1</v>
      </c>
      <c r="E349" s="49">
        <v>1</v>
      </c>
      <c r="F349" s="49">
        <v>0</v>
      </c>
      <c r="G349" s="49">
        <v>1</v>
      </c>
      <c r="H349" s="49">
        <v>0</v>
      </c>
      <c r="I349" s="49" t="s">
        <v>531</v>
      </c>
      <c r="J349" s="49" t="s">
        <v>737</v>
      </c>
      <c r="K349" s="49" t="s">
        <v>1110</v>
      </c>
      <c r="L349" s="49" t="s">
        <v>756</v>
      </c>
      <c r="M349" s="49" t="s">
        <v>1077</v>
      </c>
      <c r="N349" s="49"/>
      <c r="O349" s="49"/>
    </row>
    <row r="350" spans="1:15" s="50" customFormat="1">
      <c r="A350" s="49" t="s">
        <v>531</v>
      </c>
      <c r="B350" s="49" t="s">
        <v>202</v>
      </c>
      <c r="C350" s="49">
        <v>1</v>
      </c>
      <c r="D350" s="49">
        <v>1</v>
      </c>
      <c r="E350" s="49">
        <v>1</v>
      </c>
      <c r="F350" s="49">
        <v>0</v>
      </c>
      <c r="G350" s="49">
        <v>1</v>
      </c>
      <c r="H350" s="49">
        <v>0</v>
      </c>
      <c r="I350" s="49" t="s">
        <v>504</v>
      </c>
      <c r="J350" s="49" t="s">
        <v>730</v>
      </c>
      <c r="K350" s="49" t="s">
        <v>1111</v>
      </c>
      <c r="L350" s="49" t="s">
        <v>763</v>
      </c>
      <c r="M350" s="49" t="s">
        <v>1077</v>
      </c>
      <c r="N350" s="49"/>
      <c r="O350" s="49"/>
    </row>
    <row r="351" spans="1:15" s="50" customFormat="1">
      <c r="A351" s="49" t="s">
        <v>202</v>
      </c>
      <c r="B351" s="49" t="s">
        <v>202</v>
      </c>
      <c r="C351" s="49">
        <v>1</v>
      </c>
      <c r="D351" s="49">
        <v>1</v>
      </c>
      <c r="E351" s="49">
        <v>0</v>
      </c>
      <c r="F351" s="49">
        <v>0</v>
      </c>
      <c r="G351" s="49">
        <v>1</v>
      </c>
      <c r="H351" s="49">
        <v>1</v>
      </c>
      <c r="I351" s="49" t="s">
        <v>202</v>
      </c>
      <c r="J351" s="49" t="s">
        <v>773</v>
      </c>
      <c r="K351" s="49" t="s">
        <v>1112</v>
      </c>
      <c r="L351" s="49" t="s">
        <v>709</v>
      </c>
      <c r="M351" s="49" t="s">
        <v>1077</v>
      </c>
      <c r="N351" s="49"/>
      <c r="O351" s="49"/>
    </row>
    <row r="352" spans="1:15" s="50" customFormat="1">
      <c r="A352" s="49" t="s">
        <v>202</v>
      </c>
      <c r="B352" s="49" t="s">
        <v>202</v>
      </c>
      <c r="C352" s="49">
        <v>1</v>
      </c>
      <c r="D352" s="49">
        <v>1</v>
      </c>
      <c r="E352" s="49">
        <v>0</v>
      </c>
      <c r="F352" s="49">
        <v>0</v>
      </c>
      <c r="G352" s="49">
        <v>1</v>
      </c>
      <c r="H352" s="49">
        <v>1</v>
      </c>
      <c r="I352" s="49" t="s">
        <v>202</v>
      </c>
      <c r="J352" s="49" t="s">
        <v>773</v>
      </c>
      <c r="K352" s="49" t="s">
        <v>1113</v>
      </c>
      <c r="L352" s="49" t="s">
        <v>807</v>
      </c>
      <c r="M352" s="49" t="s">
        <v>1077</v>
      </c>
      <c r="N352" s="49"/>
      <c r="O352" s="49"/>
    </row>
    <row r="353" spans="1:15" s="50" customFormat="1">
      <c r="A353" s="49" t="s">
        <v>202</v>
      </c>
      <c r="B353" s="49" t="s">
        <v>202</v>
      </c>
      <c r="C353" s="49">
        <v>1</v>
      </c>
      <c r="D353" s="49">
        <v>1</v>
      </c>
      <c r="E353" s="49">
        <v>0</v>
      </c>
      <c r="F353" s="49">
        <v>0</v>
      </c>
      <c r="G353" s="49">
        <v>1</v>
      </c>
      <c r="H353" s="49">
        <v>1</v>
      </c>
      <c r="I353" s="49" t="s">
        <v>202</v>
      </c>
      <c r="J353" s="49" t="s">
        <v>773</v>
      </c>
      <c r="K353" s="49" t="s">
        <v>1114</v>
      </c>
      <c r="L353" s="49" t="s">
        <v>709</v>
      </c>
      <c r="M353" s="49" t="s">
        <v>1077</v>
      </c>
      <c r="N353" s="49"/>
      <c r="O353" s="49"/>
    </row>
    <row r="354" spans="1:15" s="50" customFormat="1">
      <c r="A354" s="49" t="s">
        <v>202</v>
      </c>
      <c r="B354" s="49" t="s">
        <v>202</v>
      </c>
      <c r="C354" s="49">
        <v>1</v>
      </c>
      <c r="D354" s="49">
        <v>1</v>
      </c>
      <c r="E354" s="49">
        <v>0</v>
      </c>
      <c r="F354" s="49">
        <v>0</v>
      </c>
      <c r="G354" s="49">
        <v>1</v>
      </c>
      <c r="H354" s="49">
        <v>1</v>
      </c>
      <c r="I354" s="49" t="s">
        <v>168</v>
      </c>
      <c r="J354" s="49" t="s">
        <v>502</v>
      </c>
      <c r="K354" s="49" t="s">
        <v>1115</v>
      </c>
      <c r="L354" s="49" t="s">
        <v>761</v>
      </c>
      <c r="M354" s="49" t="s">
        <v>1077</v>
      </c>
      <c r="N354" s="49"/>
      <c r="O354" s="49"/>
    </row>
    <row r="355" spans="1:15" s="50" customFormat="1">
      <c r="A355" s="49" t="s">
        <v>605</v>
      </c>
      <c r="B355" s="49" t="s">
        <v>256</v>
      </c>
      <c r="C355" s="49">
        <v>1</v>
      </c>
      <c r="D355" s="49">
        <v>0</v>
      </c>
      <c r="E355" s="49">
        <v>1</v>
      </c>
      <c r="F355" s="49">
        <v>1</v>
      </c>
      <c r="G355" s="49">
        <v>0</v>
      </c>
      <c r="H355" s="49">
        <v>0</v>
      </c>
      <c r="I355" s="49" t="s">
        <v>605</v>
      </c>
      <c r="J355" s="49" t="s">
        <v>618</v>
      </c>
      <c r="K355" s="49" t="s">
        <v>1116</v>
      </c>
      <c r="L355" s="49" t="s">
        <v>746</v>
      </c>
      <c r="M355" s="49" t="s">
        <v>1077</v>
      </c>
      <c r="N355" s="49"/>
      <c r="O355" s="49"/>
    </row>
    <row r="356" spans="1:15" s="50" customFormat="1">
      <c r="A356" s="49" t="s">
        <v>605</v>
      </c>
      <c r="B356" s="49" t="s">
        <v>256</v>
      </c>
      <c r="C356" s="49">
        <v>1</v>
      </c>
      <c r="D356" s="49">
        <v>0</v>
      </c>
      <c r="E356" s="49">
        <v>1</v>
      </c>
      <c r="F356" s="49">
        <v>1</v>
      </c>
      <c r="G356" s="49">
        <v>0</v>
      </c>
      <c r="H356" s="49">
        <v>0</v>
      </c>
      <c r="I356" s="49" t="s">
        <v>605</v>
      </c>
      <c r="J356" s="49" t="s">
        <v>618</v>
      </c>
      <c r="K356" s="49" t="s">
        <v>1117</v>
      </c>
      <c r="L356" s="49" t="s">
        <v>718</v>
      </c>
      <c r="M356" s="49" t="s">
        <v>1077</v>
      </c>
      <c r="N356" s="49"/>
      <c r="O356" s="49"/>
    </row>
    <row r="357" spans="1:15" s="50" customFormat="1">
      <c r="A357" s="49" t="s">
        <v>605</v>
      </c>
      <c r="B357" s="49" t="s">
        <v>256</v>
      </c>
      <c r="C357" s="49">
        <v>1</v>
      </c>
      <c r="D357" s="49">
        <v>0</v>
      </c>
      <c r="E357" s="49">
        <v>1</v>
      </c>
      <c r="F357" s="49">
        <v>1</v>
      </c>
      <c r="G357" s="49">
        <v>0</v>
      </c>
      <c r="H357" s="49">
        <v>0</v>
      </c>
      <c r="I357" s="49" t="s">
        <v>605</v>
      </c>
      <c r="J357" s="49" t="s">
        <v>618</v>
      </c>
      <c r="K357" s="49" t="s">
        <v>1118</v>
      </c>
      <c r="L357" s="49" t="s">
        <v>763</v>
      </c>
      <c r="M357" s="49" t="s">
        <v>1077</v>
      </c>
      <c r="N357" s="49"/>
      <c r="O357" s="49"/>
    </row>
    <row r="358" spans="1:15" s="50" customFormat="1">
      <c r="A358" s="49" t="s">
        <v>605</v>
      </c>
      <c r="B358" s="49" t="s">
        <v>256</v>
      </c>
      <c r="C358" s="49">
        <v>1</v>
      </c>
      <c r="D358" s="49">
        <v>0</v>
      </c>
      <c r="E358" s="49">
        <v>1</v>
      </c>
      <c r="F358" s="49">
        <v>1</v>
      </c>
      <c r="G358" s="49">
        <v>0</v>
      </c>
      <c r="H358" s="49">
        <v>0</v>
      </c>
      <c r="I358" s="49" t="s">
        <v>624</v>
      </c>
      <c r="J358" s="49" t="s">
        <v>659</v>
      </c>
      <c r="K358" s="49" t="s">
        <v>1119</v>
      </c>
      <c r="L358" s="49" t="s">
        <v>697</v>
      </c>
      <c r="M358" s="49" t="s">
        <v>1077</v>
      </c>
      <c r="N358" s="49"/>
      <c r="O358" s="49"/>
    </row>
    <row r="359" spans="1:15" s="50" customFormat="1">
      <c r="A359" s="49" t="s">
        <v>629</v>
      </c>
      <c r="B359" s="49" t="s">
        <v>256</v>
      </c>
      <c r="C359" s="49">
        <v>0</v>
      </c>
      <c r="D359" s="49">
        <v>0</v>
      </c>
      <c r="E359" s="49">
        <v>0</v>
      </c>
      <c r="F359" s="49">
        <v>1</v>
      </c>
      <c r="G359" s="49">
        <v>1</v>
      </c>
      <c r="H359" s="49">
        <v>1</v>
      </c>
      <c r="I359" s="49" t="s">
        <v>629</v>
      </c>
      <c r="J359" s="49" t="s">
        <v>659</v>
      </c>
      <c r="K359" s="49" t="s">
        <v>1120</v>
      </c>
      <c r="L359" s="49" t="s">
        <v>709</v>
      </c>
      <c r="M359" s="49" t="s">
        <v>1077</v>
      </c>
      <c r="N359" s="49"/>
      <c r="O359" s="49"/>
    </row>
    <row r="360" spans="1:15" s="50" customFormat="1">
      <c r="A360" s="49" t="s">
        <v>629</v>
      </c>
      <c r="B360" s="49" t="s">
        <v>256</v>
      </c>
      <c r="C360" s="49">
        <v>0</v>
      </c>
      <c r="D360" s="49">
        <v>0</v>
      </c>
      <c r="E360" s="49">
        <v>0</v>
      </c>
      <c r="F360" s="49">
        <v>1</v>
      </c>
      <c r="G360" s="49">
        <v>1</v>
      </c>
      <c r="H360" s="49">
        <v>1</v>
      </c>
      <c r="I360" s="49" t="s">
        <v>629</v>
      </c>
      <c r="J360" s="49" t="s">
        <v>659</v>
      </c>
      <c r="K360" s="49" t="s">
        <v>1121</v>
      </c>
      <c r="L360" s="49" t="s">
        <v>733</v>
      </c>
      <c r="M360" s="49" t="s">
        <v>1077</v>
      </c>
      <c r="N360" s="49"/>
      <c r="O360" s="49"/>
    </row>
    <row r="361" spans="1:15" s="50" customFormat="1">
      <c r="A361" s="49" t="s">
        <v>629</v>
      </c>
      <c r="B361" s="49" t="s">
        <v>256</v>
      </c>
      <c r="C361" s="49">
        <v>0</v>
      </c>
      <c r="D361" s="49">
        <v>0</v>
      </c>
      <c r="E361" s="49">
        <v>0</v>
      </c>
      <c r="F361" s="49">
        <v>1</v>
      </c>
      <c r="G361" s="49">
        <v>1</v>
      </c>
      <c r="H361" s="49">
        <v>1</v>
      </c>
      <c r="I361" s="49" t="s">
        <v>629</v>
      </c>
      <c r="J361" s="49" t="s">
        <v>659</v>
      </c>
      <c r="K361" s="49" t="s">
        <v>1122</v>
      </c>
      <c r="L361" s="49" t="s">
        <v>1027</v>
      </c>
      <c r="M361" s="49" t="s">
        <v>1077</v>
      </c>
      <c r="N361" s="49"/>
      <c r="O361" s="49"/>
    </row>
    <row r="362" spans="1:15" s="50" customFormat="1">
      <c r="A362" s="49" t="s">
        <v>629</v>
      </c>
      <c r="B362" s="49" t="s">
        <v>256</v>
      </c>
      <c r="C362" s="49">
        <v>0</v>
      </c>
      <c r="D362" s="49">
        <v>0</v>
      </c>
      <c r="E362" s="49">
        <v>0</v>
      </c>
      <c r="F362" s="49">
        <v>1</v>
      </c>
      <c r="G362" s="49">
        <v>1</v>
      </c>
      <c r="H362" s="49">
        <v>1</v>
      </c>
      <c r="I362" s="49" t="s">
        <v>629</v>
      </c>
      <c r="J362" s="49" t="s">
        <v>659</v>
      </c>
      <c r="K362" s="49" t="s">
        <v>1123</v>
      </c>
      <c r="L362" s="49" t="s">
        <v>997</v>
      </c>
      <c r="M362" s="49" t="s">
        <v>1077</v>
      </c>
      <c r="N362" s="49"/>
      <c r="O362" s="49"/>
    </row>
    <row r="363" spans="1:15" s="50" customFormat="1">
      <c r="A363" s="49" t="s">
        <v>639</v>
      </c>
      <c r="B363" s="49" t="s">
        <v>326</v>
      </c>
      <c r="C363" s="49">
        <v>0</v>
      </c>
      <c r="D363" s="49">
        <v>1</v>
      </c>
      <c r="E363" s="49">
        <v>0</v>
      </c>
      <c r="F363" s="49">
        <v>1</v>
      </c>
      <c r="G363" s="49">
        <v>0</v>
      </c>
      <c r="H363" s="49">
        <v>1</v>
      </c>
      <c r="I363" s="49" t="s">
        <v>639</v>
      </c>
      <c r="J363" s="49" t="s">
        <v>686</v>
      </c>
      <c r="K363" s="49" t="s">
        <v>1124</v>
      </c>
      <c r="L363" s="49" t="s">
        <v>794</v>
      </c>
      <c r="M363" s="49" t="s">
        <v>1077</v>
      </c>
      <c r="N363" s="49"/>
      <c r="O363" s="49"/>
    </row>
    <row r="364" spans="1:15" s="50" customFormat="1">
      <c r="A364" s="49" t="s">
        <v>639</v>
      </c>
      <c r="B364" s="49" t="s">
        <v>326</v>
      </c>
      <c r="C364" s="49">
        <v>0</v>
      </c>
      <c r="D364" s="49">
        <v>1</v>
      </c>
      <c r="E364" s="49">
        <v>0</v>
      </c>
      <c r="F364" s="49">
        <v>1</v>
      </c>
      <c r="G364" s="49">
        <v>0</v>
      </c>
      <c r="H364" s="49">
        <v>1</v>
      </c>
      <c r="I364" s="49" t="s">
        <v>639</v>
      </c>
      <c r="J364" s="49" t="s">
        <v>686</v>
      </c>
      <c r="K364" s="49" t="s">
        <v>1125</v>
      </c>
      <c r="L364" s="49" t="s">
        <v>720</v>
      </c>
      <c r="M364" s="49" t="s">
        <v>1077</v>
      </c>
      <c r="N364" s="49"/>
      <c r="O364" s="49"/>
    </row>
    <row r="365" spans="1:15" s="50" customFormat="1">
      <c r="A365" s="49" t="s">
        <v>639</v>
      </c>
      <c r="B365" s="49" t="s">
        <v>326</v>
      </c>
      <c r="C365" s="49">
        <v>0</v>
      </c>
      <c r="D365" s="49">
        <v>1</v>
      </c>
      <c r="E365" s="49">
        <v>0</v>
      </c>
      <c r="F365" s="49">
        <v>1</v>
      </c>
      <c r="G365" s="49">
        <v>0</v>
      </c>
      <c r="H365" s="49">
        <v>1</v>
      </c>
      <c r="I365" s="49" t="s">
        <v>639</v>
      </c>
      <c r="J365" s="49" t="s">
        <v>686</v>
      </c>
      <c r="K365" s="49" t="s">
        <v>1126</v>
      </c>
      <c r="L365" s="49" t="s">
        <v>827</v>
      </c>
      <c r="M365" s="49" t="s">
        <v>1077</v>
      </c>
      <c r="N365" s="49"/>
      <c r="O365" s="49"/>
    </row>
    <row r="366" spans="1:15" s="50" customFormat="1">
      <c r="A366" s="49" t="s">
        <v>639</v>
      </c>
      <c r="B366" s="49" t="s">
        <v>326</v>
      </c>
      <c r="C366" s="49">
        <v>0</v>
      </c>
      <c r="D366" s="49">
        <v>1</v>
      </c>
      <c r="E366" s="49">
        <v>0</v>
      </c>
      <c r="F366" s="49">
        <v>1</v>
      </c>
      <c r="G366" s="49">
        <v>0</v>
      </c>
      <c r="H366" s="49">
        <v>1</v>
      </c>
      <c r="I366" s="49" t="s">
        <v>509</v>
      </c>
      <c r="J366" s="49" t="s">
        <v>730</v>
      </c>
      <c r="K366" s="49" t="s">
        <v>1127</v>
      </c>
      <c r="L366" s="49" t="s">
        <v>718</v>
      </c>
      <c r="M366" s="49" t="s">
        <v>1077</v>
      </c>
      <c r="N366" s="49"/>
      <c r="O366" s="49"/>
    </row>
    <row r="367" spans="1:15" s="50" customFormat="1">
      <c r="A367" s="49" t="s">
        <v>645</v>
      </c>
      <c r="B367" s="49" t="s">
        <v>326</v>
      </c>
      <c r="C367" s="49">
        <v>1</v>
      </c>
      <c r="D367" s="49">
        <v>1</v>
      </c>
      <c r="E367" s="49">
        <v>1</v>
      </c>
      <c r="F367" s="49">
        <v>0</v>
      </c>
      <c r="G367" s="49">
        <v>0</v>
      </c>
      <c r="H367" s="49">
        <v>1</v>
      </c>
      <c r="I367" s="49" t="s">
        <v>645</v>
      </c>
      <c r="J367" s="49" t="s">
        <v>686</v>
      </c>
      <c r="K367" s="49" t="s">
        <v>1128</v>
      </c>
      <c r="L367" s="49" t="s">
        <v>688</v>
      </c>
      <c r="M367" s="49" t="s">
        <v>1077</v>
      </c>
      <c r="N367" s="49"/>
      <c r="O367" s="49"/>
    </row>
    <row r="368" spans="1:15" s="50" customFormat="1">
      <c r="A368" s="49" t="s">
        <v>645</v>
      </c>
      <c r="B368" s="49" t="s">
        <v>326</v>
      </c>
      <c r="C368" s="49">
        <v>1</v>
      </c>
      <c r="D368" s="49">
        <v>1</v>
      </c>
      <c r="E368" s="49">
        <v>1</v>
      </c>
      <c r="F368" s="49">
        <v>0</v>
      </c>
      <c r="G368" s="49">
        <v>0</v>
      </c>
      <c r="H368" s="49">
        <v>1</v>
      </c>
      <c r="I368" s="49" t="s">
        <v>518</v>
      </c>
      <c r="J368" s="49" t="s">
        <v>730</v>
      </c>
      <c r="K368" s="49" t="s">
        <v>1129</v>
      </c>
      <c r="L368" s="49" t="s">
        <v>910</v>
      </c>
      <c r="M368" s="49" t="s">
        <v>1077</v>
      </c>
      <c r="N368" s="49"/>
      <c r="O368" s="49"/>
    </row>
    <row r="369" spans="1:15" s="50" customFormat="1">
      <c r="A369" s="49" t="s">
        <v>645</v>
      </c>
      <c r="B369" s="49" t="s">
        <v>326</v>
      </c>
      <c r="C369" s="49">
        <v>1</v>
      </c>
      <c r="D369" s="49">
        <v>1</v>
      </c>
      <c r="E369" s="49">
        <v>1</v>
      </c>
      <c r="F369" s="49">
        <v>0</v>
      </c>
      <c r="G369" s="49">
        <v>0</v>
      </c>
      <c r="H369" s="49">
        <v>1</v>
      </c>
      <c r="I369" s="49" t="s">
        <v>630</v>
      </c>
      <c r="J369" s="49" t="s">
        <v>659</v>
      </c>
      <c r="K369" s="49" t="s">
        <v>1130</v>
      </c>
      <c r="L369" s="49" t="s">
        <v>910</v>
      </c>
      <c r="M369" s="49" t="s">
        <v>1077</v>
      </c>
      <c r="N369" s="49"/>
      <c r="O369" s="49"/>
    </row>
    <row r="370" spans="1:15" s="50" customFormat="1">
      <c r="A370" s="49" t="s">
        <v>645</v>
      </c>
      <c r="B370" s="49" t="s">
        <v>326</v>
      </c>
      <c r="C370" s="49">
        <v>1</v>
      </c>
      <c r="D370" s="49">
        <v>1</v>
      </c>
      <c r="E370" s="49">
        <v>1</v>
      </c>
      <c r="F370" s="49">
        <v>0</v>
      </c>
      <c r="G370" s="49">
        <v>0</v>
      </c>
      <c r="H370" s="49">
        <v>1</v>
      </c>
      <c r="I370" s="49" t="s">
        <v>645</v>
      </c>
      <c r="J370" s="49" t="s">
        <v>686</v>
      </c>
      <c r="K370" s="49" t="s">
        <v>1131</v>
      </c>
      <c r="L370" s="49" t="s">
        <v>794</v>
      </c>
      <c r="M370" s="49" t="s">
        <v>1077</v>
      </c>
      <c r="N370" s="49"/>
      <c r="O370" s="49"/>
    </row>
    <row r="371" spans="1:15" s="50" customFormat="1">
      <c r="A371" s="49" t="s">
        <v>542</v>
      </c>
      <c r="B371" s="49" t="s">
        <v>202</v>
      </c>
      <c r="C371" s="49">
        <v>1</v>
      </c>
      <c r="D371" s="49">
        <v>1</v>
      </c>
      <c r="E371" s="49">
        <v>0</v>
      </c>
      <c r="F371" s="49">
        <v>1</v>
      </c>
      <c r="G371" s="49">
        <v>1</v>
      </c>
      <c r="H371" s="49">
        <v>0</v>
      </c>
      <c r="I371" s="49" t="s">
        <v>542</v>
      </c>
      <c r="J371" s="49" t="s">
        <v>773</v>
      </c>
      <c r="K371" s="49" t="s">
        <v>1132</v>
      </c>
      <c r="L371" s="49" t="s">
        <v>1000</v>
      </c>
      <c r="M371" s="49" t="s">
        <v>1077</v>
      </c>
      <c r="N371" s="49"/>
      <c r="O371" s="49"/>
    </row>
    <row r="372" spans="1:15" s="50" customFormat="1">
      <c r="A372" s="49" t="s">
        <v>542</v>
      </c>
      <c r="B372" s="49" t="s">
        <v>202</v>
      </c>
      <c r="C372" s="49">
        <v>1</v>
      </c>
      <c r="D372" s="49">
        <v>1</v>
      </c>
      <c r="E372" s="49">
        <v>0</v>
      </c>
      <c r="F372" s="49">
        <v>1</v>
      </c>
      <c r="G372" s="49">
        <v>1</v>
      </c>
      <c r="H372" s="49">
        <v>0</v>
      </c>
      <c r="I372" s="49" t="s">
        <v>542</v>
      </c>
      <c r="J372" s="49" t="s">
        <v>773</v>
      </c>
      <c r="K372" s="49" t="s">
        <v>1133</v>
      </c>
      <c r="L372" s="49" t="s">
        <v>709</v>
      </c>
      <c r="M372" s="49" t="s">
        <v>1077</v>
      </c>
      <c r="N372" s="49"/>
      <c r="O372" s="49"/>
    </row>
    <row r="373" spans="1:15" s="50" customFormat="1">
      <c r="A373" s="49" t="s">
        <v>542</v>
      </c>
      <c r="B373" s="49" t="s">
        <v>202</v>
      </c>
      <c r="C373" s="49">
        <v>1</v>
      </c>
      <c r="D373" s="49">
        <v>1</v>
      </c>
      <c r="E373" s="49">
        <v>0</v>
      </c>
      <c r="F373" s="49">
        <v>1</v>
      </c>
      <c r="G373" s="49">
        <v>1</v>
      </c>
      <c r="H373" s="49">
        <v>0</v>
      </c>
      <c r="I373" s="49" t="s">
        <v>542</v>
      </c>
      <c r="J373" s="49" t="s">
        <v>773</v>
      </c>
      <c r="K373" s="49" t="s">
        <v>1134</v>
      </c>
      <c r="L373" s="49" t="s">
        <v>761</v>
      </c>
      <c r="M373" s="49" t="s">
        <v>1077</v>
      </c>
      <c r="N373" s="49"/>
      <c r="O373" s="49"/>
    </row>
    <row r="374" spans="1:15" s="50" customFormat="1">
      <c r="A374" s="49" t="s">
        <v>542</v>
      </c>
      <c r="B374" s="49" t="s">
        <v>202</v>
      </c>
      <c r="C374" s="49">
        <v>1</v>
      </c>
      <c r="D374" s="49">
        <v>1</v>
      </c>
      <c r="E374" s="49">
        <v>0</v>
      </c>
      <c r="F374" s="49">
        <v>1</v>
      </c>
      <c r="G374" s="49">
        <v>1</v>
      </c>
      <c r="H374" s="49">
        <v>0</v>
      </c>
      <c r="I374" s="49" t="s">
        <v>527</v>
      </c>
      <c r="J374" s="49" t="s">
        <v>737</v>
      </c>
      <c r="K374" s="49" t="s">
        <v>1135</v>
      </c>
      <c r="L374" s="49" t="s">
        <v>709</v>
      </c>
      <c r="M374" s="49" t="s">
        <v>1077</v>
      </c>
      <c r="N374" s="49"/>
      <c r="O374" s="49"/>
    </row>
    <row r="375" spans="1:15" s="50" customFormat="1">
      <c r="A375" s="49" t="s">
        <v>533</v>
      </c>
      <c r="B375" s="49" t="s">
        <v>202</v>
      </c>
      <c r="C375" s="49">
        <v>1</v>
      </c>
      <c r="D375" s="49">
        <v>1</v>
      </c>
      <c r="E375" s="49">
        <v>0</v>
      </c>
      <c r="F375" s="49">
        <v>1</v>
      </c>
      <c r="G375" s="49">
        <v>1</v>
      </c>
      <c r="H375" s="49">
        <v>0</v>
      </c>
      <c r="I375" s="49" t="s">
        <v>533</v>
      </c>
      <c r="J375" s="49" t="s">
        <v>773</v>
      </c>
      <c r="K375" s="49" t="s">
        <v>1136</v>
      </c>
      <c r="L375" s="49" t="s">
        <v>709</v>
      </c>
      <c r="M375" s="49" t="s">
        <v>1077</v>
      </c>
      <c r="N375" s="49"/>
      <c r="O375" s="49"/>
    </row>
    <row r="376" spans="1:15" s="50" customFormat="1">
      <c r="A376" s="49" t="s">
        <v>533</v>
      </c>
      <c r="B376" s="49" t="s">
        <v>202</v>
      </c>
      <c r="C376" s="49">
        <v>1</v>
      </c>
      <c r="D376" s="49">
        <v>1</v>
      </c>
      <c r="E376" s="49">
        <v>0</v>
      </c>
      <c r="F376" s="49">
        <v>1</v>
      </c>
      <c r="G376" s="49">
        <v>1</v>
      </c>
      <c r="H376" s="49">
        <v>0</v>
      </c>
      <c r="I376" s="49" t="s">
        <v>533</v>
      </c>
      <c r="J376" s="49" t="s">
        <v>730</v>
      </c>
      <c r="K376" s="49" t="s">
        <v>1137</v>
      </c>
      <c r="L376" s="49" t="s">
        <v>707</v>
      </c>
      <c r="M376" s="49" t="s">
        <v>1077</v>
      </c>
      <c r="N376" s="49"/>
      <c r="O376" s="49"/>
    </row>
    <row r="377" spans="1:15" s="50" customFormat="1">
      <c r="A377" s="49" t="s">
        <v>533</v>
      </c>
      <c r="B377" s="49" t="s">
        <v>202</v>
      </c>
      <c r="C377" s="49">
        <v>1</v>
      </c>
      <c r="D377" s="49">
        <v>1</v>
      </c>
      <c r="E377" s="49">
        <v>0</v>
      </c>
      <c r="F377" s="49">
        <v>1</v>
      </c>
      <c r="G377" s="49">
        <v>1</v>
      </c>
      <c r="H377" s="49">
        <v>0</v>
      </c>
      <c r="I377" s="49" t="s">
        <v>533</v>
      </c>
      <c r="J377" s="49" t="s">
        <v>730</v>
      </c>
      <c r="K377" s="49" t="s">
        <v>1138</v>
      </c>
      <c r="L377" s="49" t="s">
        <v>709</v>
      </c>
      <c r="M377" s="49" t="s">
        <v>1077</v>
      </c>
      <c r="N377" s="49"/>
      <c r="O377" s="49"/>
    </row>
    <row r="378" spans="1:15" s="50" customFormat="1">
      <c r="A378" s="49" t="s">
        <v>533</v>
      </c>
      <c r="B378" s="49" t="s">
        <v>202</v>
      </c>
      <c r="C378" s="49">
        <v>1</v>
      </c>
      <c r="D378" s="49">
        <v>1</v>
      </c>
      <c r="E378" s="49">
        <v>0</v>
      </c>
      <c r="F378" s="49">
        <v>1</v>
      </c>
      <c r="G378" s="49">
        <v>1</v>
      </c>
      <c r="H378" s="49">
        <v>0</v>
      </c>
      <c r="I378" s="49" t="s">
        <v>533</v>
      </c>
      <c r="J378" s="49" t="s">
        <v>737</v>
      </c>
      <c r="K378" s="49" t="s">
        <v>1139</v>
      </c>
      <c r="L378" s="49" t="s">
        <v>761</v>
      </c>
      <c r="M378" s="49" t="s">
        <v>1077</v>
      </c>
      <c r="N378" s="49"/>
      <c r="O378" s="49"/>
    </row>
    <row r="379" spans="1:15" s="50" customFormat="1">
      <c r="A379" s="49" t="s">
        <v>532</v>
      </c>
      <c r="B379" s="49" t="s">
        <v>202</v>
      </c>
      <c r="C379" s="49">
        <v>0</v>
      </c>
      <c r="D379" s="49">
        <v>1</v>
      </c>
      <c r="E379" s="49">
        <v>1</v>
      </c>
      <c r="F379" s="49">
        <v>0</v>
      </c>
      <c r="G379" s="49">
        <v>1</v>
      </c>
      <c r="H379" s="49">
        <v>0</v>
      </c>
      <c r="I379" s="49" t="s">
        <v>532</v>
      </c>
      <c r="J379" s="49" t="s">
        <v>737</v>
      </c>
      <c r="K379" s="49" t="s">
        <v>1140</v>
      </c>
      <c r="L379" s="49" t="s">
        <v>724</v>
      </c>
      <c r="M379" s="49" t="s">
        <v>1077</v>
      </c>
      <c r="N379" s="49"/>
      <c r="O379" s="49"/>
    </row>
    <row r="380" spans="1:15" s="50" customFormat="1">
      <c r="A380" s="49" t="s">
        <v>532</v>
      </c>
      <c r="B380" s="49" t="s">
        <v>202</v>
      </c>
      <c r="C380" s="49">
        <v>0</v>
      </c>
      <c r="D380" s="49">
        <v>1</v>
      </c>
      <c r="E380" s="49">
        <v>1</v>
      </c>
      <c r="F380" s="49">
        <v>0</v>
      </c>
      <c r="G380" s="49">
        <v>1</v>
      </c>
      <c r="H380" s="49">
        <v>0</v>
      </c>
      <c r="I380" s="49" t="s">
        <v>527</v>
      </c>
      <c r="J380" s="49" t="s">
        <v>730</v>
      </c>
      <c r="K380" s="49" t="s">
        <v>1141</v>
      </c>
      <c r="L380" s="49" t="s">
        <v>1142</v>
      </c>
      <c r="M380" s="49" t="s">
        <v>1077</v>
      </c>
      <c r="N380" s="49"/>
      <c r="O380" s="49"/>
    </row>
    <row r="381" spans="1:15" s="50" customFormat="1">
      <c r="A381" s="49" t="s">
        <v>532</v>
      </c>
      <c r="B381" s="49" t="s">
        <v>202</v>
      </c>
      <c r="C381" s="49">
        <v>0</v>
      </c>
      <c r="D381" s="49">
        <v>1</v>
      </c>
      <c r="E381" s="49">
        <v>1</v>
      </c>
      <c r="F381" s="49">
        <v>0</v>
      </c>
      <c r="G381" s="49">
        <v>1</v>
      </c>
      <c r="H381" s="49">
        <v>0</v>
      </c>
      <c r="I381" s="49" t="s">
        <v>532</v>
      </c>
      <c r="J381" s="49" t="s">
        <v>737</v>
      </c>
      <c r="K381" s="49" t="s">
        <v>1143</v>
      </c>
      <c r="L381" s="49" t="s">
        <v>746</v>
      </c>
      <c r="M381" s="49" t="s">
        <v>1077</v>
      </c>
      <c r="N381" s="49"/>
      <c r="O381" s="49"/>
    </row>
    <row r="382" spans="1:15" s="50" customFormat="1">
      <c r="A382" s="49" t="s">
        <v>532</v>
      </c>
      <c r="B382" s="49" t="s">
        <v>202</v>
      </c>
      <c r="C382" s="49">
        <v>0</v>
      </c>
      <c r="D382" s="49">
        <v>1</v>
      </c>
      <c r="E382" s="49">
        <v>1</v>
      </c>
      <c r="F382" s="49">
        <v>0</v>
      </c>
      <c r="G382" s="49">
        <v>1</v>
      </c>
      <c r="H382" s="49">
        <v>0</v>
      </c>
      <c r="I382" s="49" t="s">
        <v>532</v>
      </c>
      <c r="J382" s="49" t="s">
        <v>737</v>
      </c>
      <c r="K382" s="49" t="s">
        <v>1144</v>
      </c>
      <c r="L382" s="49" t="s">
        <v>724</v>
      </c>
      <c r="M382" s="49" t="s">
        <v>1077</v>
      </c>
      <c r="N382" s="49"/>
      <c r="O382" s="49"/>
    </row>
    <row r="383" spans="1:15" s="50" customFormat="1">
      <c r="A383" s="49" t="s">
        <v>565</v>
      </c>
      <c r="B383" s="49" t="s">
        <v>202</v>
      </c>
      <c r="C383" s="49">
        <v>0</v>
      </c>
      <c r="D383" s="49">
        <v>1</v>
      </c>
      <c r="E383" s="49">
        <v>0</v>
      </c>
      <c r="F383" s="49">
        <v>0</v>
      </c>
      <c r="G383" s="49">
        <v>1</v>
      </c>
      <c r="H383" s="49">
        <v>0</v>
      </c>
      <c r="I383" s="49" t="s">
        <v>565</v>
      </c>
      <c r="J383" s="49" t="s">
        <v>560</v>
      </c>
      <c r="K383" s="49" t="s">
        <v>1145</v>
      </c>
      <c r="L383" s="49" t="s">
        <v>1045</v>
      </c>
      <c r="M383" s="49" t="s">
        <v>1077</v>
      </c>
      <c r="N383" s="49"/>
      <c r="O383" s="49"/>
    </row>
    <row r="384" spans="1:15" s="50" customFormat="1">
      <c r="A384" s="49" t="s">
        <v>565</v>
      </c>
      <c r="B384" s="49" t="s">
        <v>202</v>
      </c>
      <c r="C384" s="49">
        <v>0</v>
      </c>
      <c r="D384" s="49">
        <v>1</v>
      </c>
      <c r="E384" s="49">
        <v>0</v>
      </c>
      <c r="F384" s="49">
        <v>0</v>
      </c>
      <c r="G384" s="49">
        <v>1</v>
      </c>
      <c r="H384" s="49">
        <v>0</v>
      </c>
      <c r="I384" s="49" t="s">
        <v>564</v>
      </c>
      <c r="J384" s="49" t="s">
        <v>560</v>
      </c>
      <c r="K384" s="49" t="s">
        <v>1146</v>
      </c>
      <c r="L384" s="49" t="s">
        <v>818</v>
      </c>
      <c r="M384" s="49" t="s">
        <v>1077</v>
      </c>
      <c r="N384" s="49"/>
      <c r="O384" s="49"/>
    </row>
    <row r="385" spans="1:15" s="50" customFormat="1">
      <c r="A385" s="49" t="s">
        <v>565</v>
      </c>
      <c r="B385" s="49" t="s">
        <v>202</v>
      </c>
      <c r="C385" s="49">
        <v>0</v>
      </c>
      <c r="D385" s="49">
        <v>1</v>
      </c>
      <c r="E385" s="49">
        <v>0</v>
      </c>
      <c r="F385" s="49">
        <v>0</v>
      </c>
      <c r="G385" s="49">
        <v>1</v>
      </c>
      <c r="H385" s="49">
        <v>0</v>
      </c>
      <c r="I385" s="49" t="s">
        <v>565</v>
      </c>
      <c r="J385" s="49" t="s">
        <v>560</v>
      </c>
      <c r="K385" s="49" t="s">
        <v>1147</v>
      </c>
      <c r="L385" s="49" t="s">
        <v>1045</v>
      </c>
      <c r="M385" s="49" t="s">
        <v>1077</v>
      </c>
      <c r="N385" s="49"/>
      <c r="O385" s="49"/>
    </row>
    <row r="386" spans="1:15" s="50" customFormat="1">
      <c r="A386" s="49" t="s">
        <v>565</v>
      </c>
      <c r="B386" s="49" t="s">
        <v>202</v>
      </c>
      <c r="C386" s="49">
        <v>0</v>
      </c>
      <c r="D386" s="49">
        <v>1</v>
      </c>
      <c r="E386" s="49">
        <v>0</v>
      </c>
      <c r="F386" s="49">
        <v>0</v>
      </c>
      <c r="G386" s="49">
        <v>1</v>
      </c>
      <c r="H386" s="49">
        <v>0</v>
      </c>
      <c r="I386" s="49" t="s">
        <v>565</v>
      </c>
      <c r="J386" s="49" t="s">
        <v>560</v>
      </c>
      <c r="K386" s="49" t="s">
        <v>1146</v>
      </c>
      <c r="L386" s="49" t="s">
        <v>818</v>
      </c>
      <c r="M386" s="49" t="s">
        <v>1077</v>
      </c>
      <c r="N386" s="49"/>
      <c r="O386" s="49"/>
    </row>
    <row r="387" spans="1:15" s="50" customFormat="1">
      <c r="A387" s="49" t="s">
        <v>541</v>
      </c>
      <c r="B387" s="49" t="s">
        <v>202</v>
      </c>
      <c r="C387" s="49">
        <v>0</v>
      </c>
      <c r="D387" s="49">
        <v>1</v>
      </c>
      <c r="E387" s="49">
        <v>0</v>
      </c>
      <c r="F387" s="49">
        <v>1</v>
      </c>
      <c r="G387" s="49">
        <v>1</v>
      </c>
      <c r="H387" s="49">
        <v>0</v>
      </c>
      <c r="I387" s="49" t="s">
        <v>541</v>
      </c>
      <c r="J387" s="49" t="s">
        <v>773</v>
      </c>
      <c r="K387" s="49" t="s">
        <v>1148</v>
      </c>
      <c r="L387" s="49" t="s">
        <v>772</v>
      </c>
      <c r="M387" s="49" t="s">
        <v>1077</v>
      </c>
      <c r="N387" s="49"/>
      <c r="O387" s="49"/>
    </row>
    <row r="388" spans="1:15" s="50" customFormat="1">
      <c r="A388" s="49" t="s">
        <v>541</v>
      </c>
      <c r="B388" s="49" t="s">
        <v>202</v>
      </c>
      <c r="C388" s="49">
        <v>0</v>
      </c>
      <c r="D388" s="49">
        <v>1</v>
      </c>
      <c r="E388" s="49">
        <v>0</v>
      </c>
      <c r="F388" s="49">
        <v>1</v>
      </c>
      <c r="G388" s="49">
        <v>1</v>
      </c>
      <c r="H388" s="49">
        <v>0</v>
      </c>
      <c r="I388" s="49" t="s">
        <v>630</v>
      </c>
      <c r="J388" s="49" t="s">
        <v>659</v>
      </c>
      <c r="K388" s="49" t="s">
        <v>1149</v>
      </c>
      <c r="L388" s="49" t="s">
        <v>794</v>
      </c>
      <c r="M388" s="49" t="s">
        <v>1077</v>
      </c>
      <c r="N388" s="49"/>
      <c r="O388" s="49"/>
    </row>
    <row r="389" spans="1:15" s="50" customFormat="1">
      <c r="A389" s="49" t="s">
        <v>541</v>
      </c>
      <c r="B389" s="49" t="s">
        <v>202</v>
      </c>
      <c r="C389" s="49">
        <v>0</v>
      </c>
      <c r="D389" s="49">
        <v>1</v>
      </c>
      <c r="E389" s="49">
        <v>0</v>
      </c>
      <c r="F389" s="49">
        <v>1</v>
      </c>
      <c r="G389" s="49">
        <v>1</v>
      </c>
      <c r="H389" s="49">
        <v>0</v>
      </c>
      <c r="I389" s="49" t="s">
        <v>541</v>
      </c>
      <c r="J389" s="49" t="s">
        <v>773</v>
      </c>
      <c r="K389" s="49" t="s">
        <v>1149</v>
      </c>
      <c r="L389" s="49" t="s">
        <v>794</v>
      </c>
      <c r="M389" s="49" t="s">
        <v>1077</v>
      </c>
      <c r="N389" s="49"/>
      <c r="O389" s="49"/>
    </row>
    <row r="390" spans="1:15" s="50" customFormat="1">
      <c r="A390" s="49" t="s">
        <v>541</v>
      </c>
      <c r="B390" s="49" t="s">
        <v>202</v>
      </c>
      <c r="C390" s="49">
        <v>0</v>
      </c>
      <c r="D390" s="49">
        <v>1</v>
      </c>
      <c r="E390" s="49">
        <v>0</v>
      </c>
      <c r="F390" s="49">
        <v>1</v>
      </c>
      <c r="G390" s="49">
        <v>1</v>
      </c>
      <c r="H390" s="49">
        <v>0</v>
      </c>
      <c r="I390" s="49" t="s">
        <v>570</v>
      </c>
      <c r="J390" s="49" t="s">
        <v>560</v>
      </c>
      <c r="K390" s="49" t="s">
        <v>1148</v>
      </c>
      <c r="L390" s="49" t="s">
        <v>772</v>
      </c>
      <c r="M390" s="49" t="s">
        <v>1077</v>
      </c>
      <c r="N390" s="49"/>
      <c r="O390" s="49"/>
    </row>
    <row r="391" spans="1:15" s="50" customFormat="1">
      <c r="A391" s="49" t="s">
        <v>590</v>
      </c>
      <c r="B391" s="49" t="s">
        <v>256</v>
      </c>
      <c r="C391" s="49">
        <v>0</v>
      </c>
      <c r="D391" s="49">
        <v>1</v>
      </c>
      <c r="E391" s="49">
        <v>0</v>
      </c>
      <c r="F391" s="49">
        <v>1</v>
      </c>
      <c r="G391" s="49">
        <v>1</v>
      </c>
      <c r="H391" s="49">
        <v>1</v>
      </c>
      <c r="I391" s="49" t="s">
        <v>590</v>
      </c>
      <c r="J391" s="49" t="s">
        <v>680</v>
      </c>
      <c r="K391" s="49" t="s">
        <v>1150</v>
      </c>
      <c r="L391" s="49" t="s">
        <v>707</v>
      </c>
      <c r="M391" s="49" t="s">
        <v>1077</v>
      </c>
      <c r="N391" s="49"/>
      <c r="O391" s="49"/>
    </row>
    <row r="392" spans="1:15" s="50" customFormat="1">
      <c r="A392" s="49" t="s">
        <v>590</v>
      </c>
      <c r="B392" s="49" t="s">
        <v>256</v>
      </c>
      <c r="C392" s="49">
        <v>0</v>
      </c>
      <c r="D392" s="49">
        <v>1</v>
      </c>
      <c r="E392" s="49">
        <v>0</v>
      </c>
      <c r="F392" s="49">
        <v>1</v>
      </c>
      <c r="G392" s="49">
        <v>1</v>
      </c>
      <c r="H392" s="49">
        <v>1</v>
      </c>
      <c r="I392" s="49" t="s">
        <v>590</v>
      </c>
      <c r="J392" s="49" t="s">
        <v>680</v>
      </c>
      <c r="K392" s="49" t="s">
        <v>1151</v>
      </c>
      <c r="L392" s="49" t="s">
        <v>707</v>
      </c>
      <c r="M392" s="49" t="s">
        <v>1077</v>
      </c>
      <c r="N392" s="49"/>
      <c r="O392" s="49"/>
    </row>
    <row r="393" spans="1:15" s="50" customFormat="1">
      <c r="A393" s="49" t="s">
        <v>590</v>
      </c>
      <c r="B393" s="49" t="s">
        <v>256</v>
      </c>
      <c r="C393" s="49">
        <v>0</v>
      </c>
      <c r="D393" s="49">
        <v>1</v>
      </c>
      <c r="E393" s="49">
        <v>0</v>
      </c>
      <c r="F393" s="49">
        <v>1</v>
      </c>
      <c r="G393" s="49">
        <v>1</v>
      </c>
      <c r="H393" s="49">
        <v>1</v>
      </c>
      <c r="I393" s="49" t="s">
        <v>590</v>
      </c>
      <c r="J393" s="49" t="s">
        <v>680</v>
      </c>
      <c r="K393" s="49" t="s">
        <v>1152</v>
      </c>
      <c r="L393" s="49" t="s">
        <v>707</v>
      </c>
      <c r="M393" s="49" t="s">
        <v>1077</v>
      </c>
      <c r="N393" s="49"/>
      <c r="O393" s="49"/>
    </row>
    <row r="394" spans="1:15" s="50" customFormat="1">
      <c r="A394" s="49" t="s">
        <v>590</v>
      </c>
      <c r="B394" s="49" t="s">
        <v>256</v>
      </c>
      <c r="C394" s="49">
        <v>0</v>
      </c>
      <c r="D394" s="49">
        <v>1</v>
      </c>
      <c r="E394" s="49">
        <v>0</v>
      </c>
      <c r="F394" s="49">
        <v>1</v>
      </c>
      <c r="G394" s="49">
        <v>1</v>
      </c>
      <c r="H394" s="49">
        <v>1</v>
      </c>
      <c r="I394" s="49" t="s">
        <v>590</v>
      </c>
      <c r="J394" s="49" t="s">
        <v>680</v>
      </c>
      <c r="K394" s="49" t="s">
        <v>1153</v>
      </c>
      <c r="L394" s="49" t="s">
        <v>1027</v>
      </c>
      <c r="M394" s="49" t="s">
        <v>1077</v>
      </c>
      <c r="N394" s="49"/>
      <c r="O394" s="49"/>
    </row>
    <row r="395" spans="1:15" s="50" customFormat="1">
      <c r="A395" s="49" t="s">
        <v>577</v>
      </c>
      <c r="B395" s="49" t="s">
        <v>256</v>
      </c>
      <c r="C395" s="49">
        <v>1</v>
      </c>
      <c r="D395" s="49">
        <v>0</v>
      </c>
      <c r="E395" s="49">
        <v>1</v>
      </c>
      <c r="F395" s="49">
        <v>1</v>
      </c>
      <c r="G395" s="49">
        <v>0</v>
      </c>
      <c r="H395" s="49">
        <v>1</v>
      </c>
      <c r="I395" s="49" t="s">
        <v>577</v>
      </c>
      <c r="J395" s="49" t="s">
        <v>657</v>
      </c>
      <c r="K395" s="49" t="s">
        <v>1154</v>
      </c>
      <c r="L395" s="49" t="s">
        <v>746</v>
      </c>
      <c r="M395" s="49" t="s">
        <v>1077</v>
      </c>
      <c r="N395" s="49"/>
      <c r="O395" s="49"/>
    </row>
    <row r="396" spans="1:15" s="50" customFormat="1">
      <c r="A396" s="49" t="s">
        <v>577</v>
      </c>
      <c r="B396" s="49" t="s">
        <v>256</v>
      </c>
      <c r="C396" s="49">
        <v>1</v>
      </c>
      <c r="D396" s="49">
        <v>0</v>
      </c>
      <c r="E396" s="49">
        <v>1</v>
      </c>
      <c r="F396" s="49">
        <v>1</v>
      </c>
      <c r="G396" s="49">
        <v>0</v>
      </c>
      <c r="H396" s="49">
        <v>1</v>
      </c>
      <c r="I396" s="49" t="s">
        <v>577</v>
      </c>
      <c r="J396" s="49" t="s">
        <v>657</v>
      </c>
      <c r="K396" s="49" t="s">
        <v>1155</v>
      </c>
      <c r="L396" s="49" t="s">
        <v>688</v>
      </c>
      <c r="M396" s="49" t="s">
        <v>1077</v>
      </c>
      <c r="N396" s="49"/>
      <c r="O396" s="49"/>
    </row>
    <row r="397" spans="1:15" s="50" customFormat="1">
      <c r="A397" s="49" t="s">
        <v>577</v>
      </c>
      <c r="B397" s="49" t="s">
        <v>256</v>
      </c>
      <c r="C397" s="49">
        <v>1</v>
      </c>
      <c r="D397" s="49">
        <v>0</v>
      </c>
      <c r="E397" s="49">
        <v>1</v>
      </c>
      <c r="F397" s="49">
        <v>1</v>
      </c>
      <c r="G397" s="49">
        <v>0</v>
      </c>
      <c r="H397" s="49">
        <v>1</v>
      </c>
      <c r="I397" s="49" t="s">
        <v>577</v>
      </c>
      <c r="J397" s="49" t="s">
        <v>657</v>
      </c>
      <c r="K397" s="49" t="s">
        <v>1156</v>
      </c>
      <c r="L397" s="49" t="s">
        <v>709</v>
      </c>
      <c r="M397" s="49" t="s">
        <v>1077</v>
      </c>
      <c r="N397" s="49"/>
      <c r="O397" s="49"/>
    </row>
    <row r="398" spans="1:15" s="50" customFormat="1">
      <c r="A398" s="49" t="s">
        <v>577</v>
      </c>
      <c r="B398" s="49" t="s">
        <v>256</v>
      </c>
      <c r="C398" s="49">
        <v>1</v>
      </c>
      <c r="D398" s="49">
        <v>0</v>
      </c>
      <c r="E398" s="49">
        <v>1</v>
      </c>
      <c r="F398" s="49">
        <v>1</v>
      </c>
      <c r="G398" s="49">
        <v>0</v>
      </c>
      <c r="H398" s="49">
        <v>1</v>
      </c>
      <c r="I398" s="49" t="s">
        <v>577</v>
      </c>
      <c r="J398" s="49" t="s">
        <v>657</v>
      </c>
      <c r="K398" s="49" t="s">
        <v>1157</v>
      </c>
      <c r="L398" s="49" t="s">
        <v>697</v>
      </c>
      <c r="M398" s="49" t="s">
        <v>1077</v>
      </c>
      <c r="N398" s="49"/>
      <c r="O398" s="49"/>
    </row>
    <row r="399" spans="1:15" s="50" customFormat="1">
      <c r="A399" s="49" t="s">
        <v>578</v>
      </c>
      <c r="B399" s="49" t="s">
        <v>256</v>
      </c>
      <c r="C399" s="49">
        <v>0</v>
      </c>
      <c r="D399" s="49">
        <v>0</v>
      </c>
      <c r="E399" s="49">
        <v>1</v>
      </c>
      <c r="F399" s="49">
        <v>1</v>
      </c>
      <c r="G399" s="49">
        <v>0</v>
      </c>
      <c r="H399" s="49">
        <v>1</v>
      </c>
      <c r="I399" s="49" t="s">
        <v>578</v>
      </c>
      <c r="J399" s="49" t="s">
        <v>657</v>
      </c>
      <c r="K399" s="49" t="s">
        <v>1158</v>
      </c>
      <c r="L399" s="49" t="s">
        <v>746</v>
      </c>
      <c r="M399" s="49" t="s">
        <v>1077</v>
      </c>
      <c r="N399" s="49"/>
      <c r="O399" s="49"/>
    </row>
    <row r="400" spans="1:15" s="50" customFormat="1">
      <c r="A400" s="49" t="s">
        <v>578</v>
      </c>
      <c r="B400" s="49" t="s">
        <v>256</v>
      </c>
      <c r="C400" s="49">
        <v>0</v>
      </c>
      <c r="D400" s="49">
        <v>0</v>
      </c>
      <c r="E400" s="49">
        <v>1</v>
      </c>
      <c r="F400" s="49">
        <v>1</v>
      </c>
      <c r="G400" s="49">
        <v>0</v>
      </c>
      <c r="H400" s="49">
        <v>1</v>
      </c>
      <c r="I400" s="49" t="s">
        <v>578</v>
      </c>
      <c r="J400" s="49" t="s">
        <v>657</v>
      </c>
      <c r="K400" s="49" t="s">
        <v>1159</v>
      </c>
      <c r="L400" s="49" t="s">
        <v>761</v>
      </c>
      <c r="M400" s="49" t="s">
        <v>1077</v>
      </c>
      <c r="N400" s="49"/>
      <c r="O400" s="49"/>
    </row>
    <row r="401" spans="1:15" s="50" customFormat="1">
      <c r="A401" s="49" t="s">
        <v>578</v>
      </c>
      <c r="B401" s="49" t="s">
        <v>256</v>
      </c>
      <c r="C401" s="49">
        <v>0</v>
      </c>
      <c r="D401" s="49">
        <v>0</v>
      </c>
      <c r="E401" s="49">
        <v>1</v>
      </c>
      <c r="F401" s="49">
        <v>1</v>
      </c>
      <c r="G401" s="49">
        <v>0</v>
      </c>
      <c r="H401" s="49">
        <v>1</v>
      </c>
      <c r="I401" s="49" t="s">
        <v>657</v>
      </c>
      <c r="J401" s="49" t="s">
        <v>657</v>
      </c>
      <c r="K401" s="49" t="s">
        <v>1160</v>
      </c>
      <c r="L401" s="49" t="s">
        <v>866</v>
      </c>
      <c r="M401" s="49" t="s">
        <v>1077</v>
      </c>
      <c r="N401" s="49"/>
      <c r="O401" s="49"/>
    </row>
    <row r="402" spans="1:15" s="50" customFormat="1">
      <c r="A402" s="49" t="s">
        <v>578</v>
      </c>
      <c r="B402" s="49" t="s">
        <v>256</v>
      </c>
      <c r="C402" s="49">
        <v>0</v>
      </c>
      <c r="D402" s="49">
        <v>0</v>
      </c>
      <c r="E402" s="49">
        <v>1</v>
      </c>
      <c r="F402" s="49">
        <v>1</v>
      </c>
      <c r="G402" s="49">
        <v>0</v>
      </c>
      <c r="H402" s="49">
        <v>1</v>
      </c>
      <c r="I402" s="49" t="s">
        <v>578</v>
      </c>
      <c r="J402" s="49" t="s">
        <v>657</v>
      </c>
      <c r="K402" s="49" t="s">
        <v>1161</v>
      </c>
      <c r="L402" s="49" t="s">
        <v>1162</v>
      </c>
      <c r="M402" s="49" t="s">
        <v>1077</v>
      </c>
      <c r="N402" s="49"/>
      <c r="O402" s="49"/>
    </row>
    <row r="403" spans="1:15" s="50" customFormat="1">
      <c r="A403" s="49" t="s">
        <v>581</v>
      </c>
      <c r="B403" s="49" t="s">
        <v>256</v>
      </c>
      <c r="C403" s="49">
        <v>1</v>
      </c>
      <c r="D403" s="49">
        <v>0</v>
      </c>
      <c r="E403" s="49">
        <v>1</v>
      </c>
      <c r="F403" s="49">
        <v>1</v>
      </c>
      <c r="G403" s="49">
        <v>1</v>
      </c>
      <c r="H403" s="49">
        <v>1</v>
      </c>
      <c r="I403" s="49" t="s">
        <v>581</v>
      </c>
      <c r="J403" s="49" t="s">
        <v>657</v>
      </c>
      <c r="K403" s="49" t="s">
        <v>1163</v>
      </c>
      <c r="L403" s="49" t="s">
        <v>724</v>
      </c>
      <c r="M403" s="49" t="s">
        <v>1077</v>
      </c>
      <c r="N403" s="49"/>
      <c r="O403" s="49"/>
    </row>
    <row r="404" spans="1:15" s="50" customFormat="1">
      <c r="A404" s="49" t="s">
        <v>581</v>
      </c>
      <c r="B404" s="49" t="s">
        <v>256</v>
      </c>
      <c r="C404" s="49">
        <v>1</v>
      </c>
      <c r="D404" s="49">
        <v>0</v>
      </c>
      <c r="E404" s="49">
        <v>1</v>
      </c>
      <c r="F404" s="49">
        <v>1</v>
      </c>
      <c r="G404" s="49">
        <v>1</v>
      </c>
      <c r="H404" s="49">
        <v>1</v>
      </c>
      <c r="I404" s="49" t="s">
        <v>581</v>
      </c>
      <c r="J404" s="49" t="s">
        <v>657</v>
      </c>
      <c r="K404" s="49" t="s">
        <v>1164</v>
      </c>
      <c r="L404" s="49" t="s">
        <v>720</v>
      </c>
      <c r="M404" s="49" t="s">
        <v>1077</v>
      </c>
      <c r="N404" s="49"/>
      <c r="O404" s="49"/>
    </row>
    <row r="405" spans="1:15" s="50" customFormat="1">
      <c r="A405" s="49" t="s">
        <v>581</v>
      </c>
      <c r="B405" s="49" t="s">
        <v>256</v>
      </c>
      <c r="C405" s="49">
        <v>1</v>
      </c>
      <c r="D405" s="49">
        <v>0</v>
      </c>
      <c r="E405" s="49">
        <v>1</v>
      </c>
      <c r="F405" s="49">
        <v>1</v>
      </c>
      <c r="G405" s="49">
        <v>1</v>
      </c>
      <c r="H405" s="49">
        <v>1</v>
      </c>
      <c r="I405" s="49" t="s">
        <v>581</v>
      </c>
      <c r="J405" s="49" t="s">
        <v>657</v>
      </c>
      <c r="K405" s="49" t="s">
        <v>1165</v>
      </c>
      <c r="L405" s="49" t="s">
        <v>813</v>
      </c>
      <c r="M405" s="49" t="s">
        <v>1077</v>
      </c>
      <c r="N405" s="49"/>
      <c r="O405" s="49"/>
    </row>
    <row r="406" spans="1:15" s="50" customFormat="1">
      <c r="A406" s="49" t="s">
        <v>581</v>
      </c>
      <c r="B406" s="49" t="s">
        <v>256</v>
      </c>
      <c r="C406" s="49">
        <v>1</v>
      </c>
      <c r="D406" s="49">
        <v>0</v>
      </c>
      <c r="E406" s="49">
        <v>1</v>
      </c>
      <c r="F406" s="49">
        <v>1</v>
      </c>
      <c r="G406" s="49">
        <v>1</v>
      </c>
      <c r="H406" s="49">
        <v>1</v>
      </c>
      <c r="I406" s="49" t="s">
        <v>581</v>
      </c>
      <c r="J406" s="49" t="s">
        <v>657</v>
      </c>
      <c r="K406" s="49" t="s">
        <v>1166</v>
      </c>
      <c r="L406" s="49" t="s">
        <v>707</v>
      </c>
      <c r="M406" s="49" t="s">
        <v>1077</v>
      </c>
      <c r="N406" s="49"/>
      <c r="O406" s="49"/>
    </row>
    <row r="407" spans="1:15" s="50" customFormat="1">
      <c r="A407" s="49" t="s">
        <v>536</v>
      </c>
      <c r="B407" s="49" t="s">
        <v>202</v>
      </c>
      <c r="C407" s="49">
        <v>1</v>
      </c>
      <c r="D407" s="49">
        <v>0</v>
      </c>
      <c r="E407" s="49">
        <v>0</v>
      </c>
      <c r="F407" s="49">
        <v>0</v>
      </c>
      <c r="G407" s="49">
        <v>0</v>
      </c>
      <c r="H407" s="49">
        <v>0</v>
      </c>
      <c r="I407" s="49" t="s">
        <v>536</v>
      </c>
      <c r="J407" s="49" t="s">
        <v>737</v>
      </c>
      <c r="K407" s="49" t="s">
        <v>1167</v>
      </c>
      <c r="L407" s="49" t="s">
        <v>718</v>
      </c>
      <c r="M407" s="49" t="s">
        <v>1077</v>
      </c>
      <c r="N407" s="49"/>
      <c r="O407" s="49"/>
    </row>
    <row r="408" spans="1:15" s="50" customFormat="1">
      <c r="A408" s="49" t="s">
        <v>536</v>
      </c>
      <c r="B408" s="49" t="s">
        <v>202</v>
      </c>
      <c r="C408" s="49">
        <v>1</v>
      </c>
      <c r="D408" s="49">
        <v>0</v>
      </c>
      <c r="E408" s="49">
        <v>0</v>
      </c>
      <c r="F408" s="49">
        <v>0</v>
      </c>
      <c r="G408" s="49">
        <v>0</v>
      </c>
      <c r="H408" s="49">
        <v>0</v>
      </c>
      <c r="I408" s="49" t="s">
        <v>536</v>
      </c>
      <c r="J408" s="49" t="s">
        <v>737</v>
      </c>
      <c r="K408" s="49" t="s">
        <v>1168</v>
      </c>
      <c r="L408" s="49" t="s">
        <v>949</v>
      </c>
      <c r="M408" s="49" t="s">
        <v>1077</v>
      </c>
      <c r="N408" s="49"/>
      <c r="O408" s="49"/>
    </row>
    <row r="409" spans="1:15" s="50" customFormat="1">
      <c r="A409" s="49" t="s">
        <v>536</v>
      </c>
      <c r="B409" s="49" t="s">
        <v>202</v>
      </c>
      <c r="C409" s="49">
        <v>1</v>
      </c>
      <c r="D409" s="49">
        <v>0</v>
      </c>
      <c r="E409" s="49">
        <v>0</v>
      </c>
      <c r="F409" s="49">
        <v>0</v>
      </c>
      <c r="G409" s="49">
        <v>0</v>
      </c>
      <c r="H409" s="49">
        <v>0</v>
      </c>
      <c r="I409" s="49" t="s">
        <v>536</v>
      </c>
      <c r="J409" s="49" t="s">
        <v>737</v>
      </c>
      <c r="K409" s="49" t="s">
        <v>1169</v>
      </c>
      <c r="L409" s="49" t="s">
        <v>709</v>
      </c>
      <c r="M409" s="49" t="s">
        <v>1077</v>
      </c>
      <c r="N409" s="49"/>
      <c r="O409" s="49"/>
    </row>
    <row r="410" spans="1:15" s="50" customFormat="1">
      <c r="A410" s="49" t="s">
        <v>536</v>
      </c>
      <c r="B410" s="49" t="s">
        <v>202</v>
      </c>
      <c r="C410" s="49">
        <v>1</v>
      </c>
      <c r="D410" s="49">
        <v>0</v>
      </c>
      <c r="E410" s="49">
        <v>0</v>
      </c>
      <c r="F410" s="49">
        <v>0</v>
      </c>
      <c r="G410" s="49">
        <v>0</v>
      </c>
      <c r="H410" s="49">
        <v>0</v>
      </c>
      <c r="I410" s="49" t="s">
        <v>536</v>
      </c>
      <c r="J410" s="49" t="s">
        <v>737</v>
      </c>
      <c r="K410" s="49" t="s">
        <v>1170</v>
      </c>
      <c r="L410" s="49" t="s">
        <v>838</v>
      </c>
      <c r="M410" s="49" t="s">
        <v>1077</v>
      </c>
      <c r="N410" s="49"/>
      <c r="O410" s="49"/>
    </row>
    <row r="411" spans="1:15" s="50" customFormat="1">
      <c r="A411" s="49" t="s">
        <v>612</v>
      </c>
      <c r="B411" s="49" t="s">
        <v>256</v>
      </c>
      <c r="C411" s="49">
        <v>1</v>
      </c>
      <c r="D411" s="49">
        <v>0</v>
      </c>
      <c r="E411" s="49">
        <v>1</v>
      </c>
      <c r="F411" s="49">
        <v>1</v>
      </c>
      <c r="G411" s="49">
        <v>1</v>
      </c>
      <c r="H411" s="49">
        <v>1</v>
      </c>
      <c r="I411" s="49" t="s">
        <v>612</v>
      </c>
      <c r="J411" s="49" t="s">
        <v>618</v>
      </c>
      <c r="K411" s="49" t="s">
        <v>1171</v>
      </c>
      <c r="L411" s="49" t="s">
        <v>709</v>
      </c>
      <c r="M411" s="49" t="s">
        <v>1077</v>
      </c>
      <c r="N411" s="49"/>
      <c r="O411" s="49"/>
    </row>
    <row r="412" spans="1:15" s="50" customFormat="1">
      <c r="A412" s="49" t="s">
        <v>612</v>
      </c>
      <c r="B412" s="49" t="s">
        <v>256</v>
      </c>
      <c r="C412" s="49">
        <v>1</v>
      </c>
      <c r="D412" s="49">
        <v>0</v>
      </c>
      <c r="E412" s="49">
        <v>1</v>
      </c>
      <c r="F412" s="49">
        <v>1</v>
      </c>
      <c r="G412" s="49">
        <v>1</v>
      </c>
      <c r="H412" s="49">
        <v>1</v>
      </c>
      <c r="I412" s="49" t="s">
        <v>612</v>
      </c>
      <c r="J412" s="49" t="s">
        <v>618</v>
      </c>
      <c r="K412" s="49" t="s">
        <v>1172</v>
      </c>
      <c r="L412" s="49" t="s">
        <v>746</v>
      </c>
      <c r="M412" s="49" t="s">
        <v>1077</v>
      </c>
      <c r="N412" s="49"/>
      <c r="O412" s="49"/>
    </row>
    <row r="413" spans="1:15" s="50" customFormat="1">
      <c r="A413" s="49" t="s">
        <v>612</v>
      </c>
      <c r="B413" s="49" t="s">
        <v>256</v>
      </c>
      <c r="C413" s="49">
        <v>1</v>
      </c>
      <c r="D413" s="49">
        <v>0</v>
      </c>
      <c r="E413" s="49">
        <v>1</v>
      </c>
      <c r="F413" s="49">
        <v>1</v>
      </c>
      <c r="G413" s="49">
        <v>1</v>
      </c>
      <c r="H413" s="49">
        <v>1</v>
      </c>
      <c r="I413" s="49" t="s">
        <v>611</v>
      </c>
      <c r="J413" s="49" t="s">
        <v>618</v>
      </c>
      <c r="K413" s="49" t="s">
        <v>1173</v>
      </c>
      <c r="L413" s="49" t="s">
        <v>709</v>
      </c>
      <c r="M413" s="49" t="s">
        <v>1077</v>
      </c>
      <c r="N413" s="49"/>
      <c r="O413" s="49"/>
    </row>
    <row r="414" spans="1:15" s="50" customFormat="1">
      <c r="A414" s="49" t="s">
        <v>612</v>
      </c>
      <c r="B414" s="49" t="s">
        <v>256</v>
      </c>
      <c r="C414" s="49">
        <v>1</v>
      </c>
      <c r="D414" s="49">
        <v>0</v>
      </c>
      <c r="E414" s="49">
        <v>1</v>
      </c>
      <c r="F414" s="49">
        <v>1</v>
      </c>
      <c r="G414" s="49">
        <v>1</v>
      </c>
      <c r="H414" s="49">
        <v>1</v>
      </c>
      <c r="I414" s="49" t="s">
        <v>612</v>
      </c>
      <c r="J414" s="49" t="s">
        <v>618</v>
      </c>
      <c r="K414" s="49" t="s">
        <v>1174</v>
      </c>
      <c r="L414" s="49" t="s">
        <v>997</v>
      </c>
      <c r="M414" s="49" t="s">
        <v>1077</v>
      </c>
      <c r="N414" s="49"/>
      <c r="O414" s="49"/>
    </row>
    <row r="415" spans="1:15" s="50" customFormat="1">
      <c r="A415" s="49" t="s">
        <v>591</v>
      </c>
      <c r="B415" s="49" t="s">
        <v>256</v>
      </c>
      <c r="C415" s="49">
        <v>0</v>
      </c>
      <c r="D415" s="49">
        <v>1</v>
      </c>
      <c r="E415" s="49">
        <v>1</v>
      </c>
      <c r="F415" s="49">
        <v>0</v>
      </c>
      <c r="G415" s="49">
        <v>0</v>
      </c>
      <c r="H415" s="49">
        <v>0</v>
      </c>
      <c r="I415" s="49" t="s">
        <v>591</v>
      </c>
      <c r="J415" s="49" t="s">
        <v>680</v>
      </c>
      <c r="K415" s="49" t="s">
        <v>1175</v>
      </c>
      <c r="L415" s="49" t="s">
        <v>746</v>
      </c>
      <c r="M415" s="49" t="s">
        <v>1077</v>
      </c>
      <c r="N415" s="49"/>
      <c r="O415" s="49"/>
    </row>
    <row r="416" spans="1:15" s="50" customFormat="1">
      <c r="A416" s="49" t="s">
        <v>591</v>
      </c>
      <c r="B416" s="49" t="s">
        <v>256</v>
      </c>
      <c r="C416" s="49">
        <v>0</v>
      </c>
      <c r="D416" s="49">
        <v>1</v>
      </c>
      <c r="E416" s="49">
        <v>1</v>
      </c>
      <c r="F416" s="49">
        <v>0</v>
      </c>
      <c r="G416" s="49">
        <v>0</v>
      </c>
      <c r="H416" s="49">
        <v>0</v>
      </c>
      <c r="I416" s="49" t="s">
        <v>1028</v>
      </c>
      <c r="J416" s="49" t="s">
        <v>730</v>
      </c>
      <c r="K416" s="49" t="s">
        <v>1175</v>
      </c>
      <c r="L416" s="49" t="s">
        <v>746</v>
      </c>
      <c r="M416" s="49" t="s">
        <v>1077</v>
      </c>
      <c r="N416" s="49"/>
      <c r="O416" s="49"/>
    </row>
    <row r="417" spans="1:15" s="50" customFormat="1">
      <c r="A417" s="49" t="s">
        <v>591</v>
      </c>
      <c r="B417" s="49" t="s">
        <v>256</v>
      </c>
      <c r="C417" s="49">
        <v>0</v>
      </c>
      <c r="D417" s="49">
        <v>1</v>
      </c>
      <c r="E417" s="49">
        <v>1</v>
      </c>
      <c r="F417" s="49">
        <v>0</v>
      </c>
      <c r="G417" s="49">
        <v>0</v>
      </c>
      <c r="H417" s="49">
        <v>0</v>
      </c>
      <c r="I417" s="49" t="s">
        <v>581</v>
      </c>
      <c r="J417" s="49" t="s">
        <v>657</v>
      </c>
      <c r="K417" s="49" t="s">
        <v>1175</v>
      </c>
      <c r="L417" s="49" t="s">
        <v>746</v>
      </c>
      <c r="M417" s="49" t="s">
        <v>1077</v>
      </c>
      <c r="N417" s="49"/>
      <c r="O417" s="49"/>
    </row>
    <row r="418" spans="1:15" s="50" customFormat="1">
      <c r="A418" s="49" t="s">
        <v>591</v>
      </c>
      <c r="B418" s="49" t="s">
        <v>256</v>
      </c>
      <c r="C418" s="49">
        <v>0</v>
      </c>
      <c r="D418" s="49">
        <v>1</v>
      </c>
      <c r="E418" s="49">
        <v>1</v>
      </c>
      <c r="F418" s="49">
        <v>0</v>
      </c>
      <c r="G418" s="49">
        <v>0</v>
      </c>
      <c r="H418" s="49">
        <v>0</v>
      </c>
      <c r="I418" s="49" t="s">
        <v>591</v>
      </c>
      <c r="J418" s="49" t="s">
        <v>680</v>
      </c>
      <c r="K418" s="49" t="s">
        <v>1176</v>
      </c>
      <c r="L418" s="49" t="s">
        <v>707</v>
      </c>
      <c r="M418" s="49" t="s">
        <v>1077</v>
      </c>
      <c r="N418" s="49"/>
      <c r="O418" s="49"/>
    </row>
  </sheetData>
  <autoFilter ref="A1:P418" xr:uid="{00000000-0001-0000-0000-000000000000}"/>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80E30B-9E6D-48C0-A453-E2C44470F24F}">
  <dimension ref="A1:A7"/>
  <sheetViews>
    <sheetView workbookViewId="0">
      <selection sqref="A1:A7"/>
    </sheetView>
  </sheetViews>
  <sheetFormatPr defaultRowHeight="14.4"/>
  <sheetData>
    <row r="1" spans="1:1">
      <c r="A1" s="104" t="s">
        <v>2339</v>
      </c>
    </row>
    <row r="2" spans="1:1">
      <c r="A2" s="104" t="s">
        <v>2340</v>
      </c>
    </row>
    <row r="3" spans="1:1">
      <c r="A3" s="105" t="s">
        <v>2341</v>
      </c>
    </row>
    <row r="4" spans="1:1">
      <c r="A4" s="105" t="s">
        <v>2342</v>
      </c>
    </row>
    <row r="5" spans="1:1">
      <c r="A5" s="105" t="s">
        <v>2343</v>
      </c>
    </row>
    <row r="6" spans="1:1">
      <c r="A6" s="105" t="s">
        <v>2344</v>
      </c>
    </row>
    <row r="7" spans="1:1">
      <c r="A7" s="106" t="s">
        <v>2345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62477E-5A7E-4A13-A904-5C5929DB69DC}">
  <dimension ref="A1:E65"/>
  <sheetViews>
    <sheetView workbookViewId="0">
      <selection activeCell="E2" sqref="E2"/>
    </sheetView>
  </sheetViews>
  <sheetFormatPr defaultRowHeight="14.4"/>
  <cols>
    <col min="1" max="1" width="21" customWidth="1"/>
    <col min="2" max="2" width="13.5546875" customWidth="1"/>
  </cols>
  <sheetData>
    <row r="1" spans="1:5" ht="15" thickBot="1">
      <c r="A1" s="109" t="s">
        <v>2347</v>
      </c>
      <c r="B1" s="109" t="s">
        <v>2348</v>
      </c>
      <c r="C1" t="s">
        <v>2477</v>
      </c>
      <c r="D1" t="s">
        <v>2478</v>
      </c>
      <c r="E1" t="s">
        <v>2479</v>
      </c>
    </row>
    <row r="2" spans="1:5" ht="30.6" customHeight="1">
      <c r="A2" s="110" t="s">
        <v>2411</v>
      </c>
      <c r="B2" s="110" t="s">
        <v>2349</v>
      </c>
      <c r="C2" s="112" t="str" cm="1">
        <f t="array" ref="C2:D2">_xlfn.TEXTSPLIT(B2, "-")</f>
        <v>cornell</v>
      </c>
      <c r="D2" t="str">
        <v>cash</v>
      </c>
      <c r="E2" s="112" t="str">
        <f>_xlfn.CONCAT(A2, "_", D2)</f>
        <v>Moebius-Clune et al. 2017_cash</v>
      </c>
    </row>
    <row r="3" spans="1:5">
      <c r="A3" s="110" t="s">
        <v>2412</v>
      </c>
      <c r="B3" s="110" t="s">
        <v>2351</v>
      </c>
      <c r="C3" s="112" t="str" cm="1">
        <f t="array" ref="C3:D3">_xlfn.TEXTSPLIT(B3, "-")</f>
        <v>eea</v>
      </c>
      <c r="D3" t="str">
        <v>smeitsha</v>
      </c>
      <c r="E3" s="112" t="str">
        <f t="shared" ref="E3:E65" si="0">_xlfn.CONCAT(A3, "_", D3)</f>
        <v>EEA 2023_smeitsha</v>
      </c>
    </row>
    <row r="4" spans="1:5">
      <c r="A4" s="110" t="s">
        <v>2413</v>
      </c>
      <c r="B4" s="110" t="s">
        <v>2353</v>
      </c>
      <c r="C4" s="112" t="str" cm="1">
        <f t="array" ref="C4:D4">_xlfn.TEXTSPLIT(B4, "-")</f>
        <v>ejp</v>
      </c>
      <c r="D4" t="str">
        <v>siren</v>
      </c>
      <c r="E4" s="112" t="str">
        <f t="shared" si="0"/>
        <v>Faber et al. 2022_siren</v>
      </c>
    </row>
    <row r="5" spans="1:5">
      <c r="A5" s="110" t="s">
        <v>2414</v>
      </c>
      <c r="B5" s="110" t="s">
        <v>2355</v>
      </c>
      <c r="C5" s="112" t="str" cm="1">
        <f t="array" ref="C5:D5">_xlfn.TEXTSPLIT(B5, "-")</f>
        <v>ifdc</v>
      </c>
      <c r="D5" t="str">
        <v>fsha</v>
      </c>
      <c r="E5" s="112" t="str">
        <f t="shared" si="0"/>
        <v>Vanlauwe et al. 2023_fsha</v>
      </c>
    </row>
    <row r="6" spans="1:5">
      <c r="A6" s="110" t="s">
        <v>2415</v>
      </c>
      <c r="B6" s="110" t="s">
        <v>2357</v>
      </c>
      <c r="C6" s="112" t="str" cm="1">
        <f t="array" ref="C6:D6">_xlfn.TEXTSPLIT(B6, "-")</f>
        <v>fao</v>
      </c>
      <c r="D6" t="str">
        <v>vgssm</v>
      </c>
      <c r="E6" s="112" t="str">
        <f t="shared" si="0"/>
        <v>FAO-ITPS 2017_vgssm</v>
      </c>
    </row>
    <row r="7" spans="1:5">
      <c r="A7" s="110" t="s">
        <v>2416</v>
      </c>
      <c r="B7" s="110" t="s">
        <v>2359</v>
      </c>
      <c r="C7" s="112" t="str" cm="1">
        <f t="array" ref="C7:D7">_xlfn.TEXTSPLIT(B7, "-")</f>
        <v>deel</v>
      </c>
      <c r="D7" t="str">
        <v>semwise</v>
      </c>
      <c r="E7" s="112" t="str">
        <f t="shared" si="0"/>
        <v>Deel et al. 2024_semwise</v>
      </c>
    </row>
    <row r="8" spans="1:5">
      <c r="A8" s="110" t="s">
        <v>2417</v>
      </c>
      <c r="B8" s="110" t="s">
        <v>2361</v>
      </c>
      <c r="C8" s="112" t="str" cm="1">
        <f t="array" ref="C8:D8">_xlfn.TEXTSPLIT(B8, "-")</f>
        <v>ifa</v>
      </c>
      <c r="D8" t="str">
        <v>g4rnutstewf</v>
      </c>
      <c r="E8" s="112" t="str">
        <f t="shared" si="0"/>
        <v>IFA 2009_g4rnutstewf</v>
      </c>
    </row>
    <row r="9" spans="1:5">
      <c r="A9" s="110" t="s">
        <v>2418</v>
      </c>
      <c r="B9" s="110" t="s">
        <v>2363</v>
      </c>
      <c r="C9" s="112" t="str" cm="1">
        <f t="array" ref="C9:D9">_xlfn.TEXTSPLIT(B9, "-")</f>
        <v>andrews</v>
      </c>
      <c r="D9" t="str">
        <v>smaf</v>
      </c>
      <c r="E9" s="112" t="str">
        <f t="shared" si="0"/>
        <v>Andrews et al. 2004_smaf</v>
      </c>
    </row>
    <row r="10" spans="1:5">
      <c r="A10" s="110" t="s">
        <v>2419</v>
      </c>
      <c r="B10" s="110" t="s">
        <v>2365</v>
      </c>
      <c r="C10" s="112" t="str" cm="1">
        <f t="array" ref="C10:D10">_xlfn.TEXTSPLIT(B10, "-")</f>
        <v>ghimire</v>
      </c>
      <c r="D10" t="str">
        <v>sham4wle</v>
      </c>
      <c r="E10" s="112" t="str">
        <f t="shared" si="0"/>
        <v>Ghimire et al. 2023_sham4wle</v>
      </c>
    </row>
    <row r="11" spans="1:5">
      <c r="A11" s="110" t="s">
        <v>2420</v>
      </c>
      <c r="B11" s="110" t="s">
        <v>2367</v>
      </c>
      <c r="C11" s="112" t="str" cm="1">
        <f t="array" ref="C11:D11">_xlfn.TEXTSPLIT(B11, "-")</f>
        <v>lehmann</v>
      </c>
      <c r="D11" t="str">
        <v>fpsh</v>
      </c>
      <c r="E11" s="112" t="str">
        <f t="shared" si="0"/>
        <v>Lehmann et al. 2020_fpsh</v>
      </c>
    </row>
    <row r="12" spans="1:5">
      <c r="A12" s="110" t="s">
        <v>2421</v>
      </c>
      <c r="B12" s="110" t="s">
        <v>2369</v>
      </c>
      <c r="C12" s="112" t="str" cm="1">
        <f t="array" ref="C12:D12">_xlfn.TEXTSPLIT(B12, "-")</f>
        <v>stockdale</v>
      </c>
      <c r="D12" t="str">
        <v>cfmsh</v>
      </c>
      <c r="E12" s="112" t="str">
        <f t="shared" si="0"/>
        <v>Stockdale et al. 2019_cfmsh</v>
      </c>
    </row>
    <row r="13" spans="1:5">
      <c r="A13" s="110" t="s">
        <v>2422</v>
      </c>
      <c r="B13" s="110" t="s">
        <v>2371</v>
      </c>
      <c r="C13" s="112" t="str" cm="1">
        <f t="array" ref="C13:D13">_xlfn.TEXTSPLIT(B13, "-")</f>
        <v>arshad</v>
      </c>
      <c r="D13" t="str">
        <v>sqi</v>
      </c>
      <c r="E13" s="112" t="str">
        <f t="shared" si="0"/>
        <v>Arshad and Martin 2002_sqi</v>
      </c>
    </row>
    <row r="14" spans="1:5">
      <c r="A14" s="110" t="s">
        <v>2423</v>
      </c>
      <c r="B14" s="110" t="s">
        <v>2373</v>
      </c>
      <c r="C14" s="112" t="str" cm="1">
        <f t="array" ref="C14:D14">_xlfn.TEXTSPLIT(B14, "-")</f>
        <v>devine</v>
      </c>
      <c r="D14" t="str">
        <v>rscfish</v>
      </c>
      <c r="E14" s="112" t="str">
        <f t="shared" si="0"/>
        <v>Devine et al. 2021_rscfish</v>
      </c>
    </row>
    <row r="15" spans="1:5">
      <c r="A15" s="110" t="s">
        <v>2424</v>
      </c>
      <c r="B15" s="110" t="s">
        <v>2375</v>
      </c>
      <c r="C15" s="112" t="str" cm="1">
        <f t="array" ref="C15:D15">_xlfn.TEXTSPLIT(B15, "-")</f>
        <v>ciat</v>
      </c>
      <c r="D15" t="str">
        <v>isfm</v>
      </c>
      <c r="E15" s="112" t="str">
        <f t="shared" si="0"/>
        <v>Sanginga and Woomer 2009_isfm</v>
      </c>
    </row>
    <row r="16" spans="1:5">
      <c r="A16" s="110" t="s">
        <v>2425</v>
      </c>
      <c r="B16" s="110" t="s">
        <v>593</v>
      </c>
      <c r="C16" s="112" t="str" cm="1">
        <f t="array" ref="C16">_xlfn.TEXTSPLIT(B16, "-")</f>
        <v>permaculture</v>
      </c>
      <c r="E16" s="112" t="str">
        <f t="shared" si="0"/>
        <v>Holmgren 2017_</v>
      </c>
    </row>
    <row r="17" spans="1:5">
      <c r="A17" s="110" t="s">
        <v>2426</v>
      </c>
      <c r="B17" s="110" t="s">
        <v>2378</v>
      </c>
      <c r="C17" s="112" t="str" cm="1">
        <f t="array" ref="C17:D17">_xlfn.TEXTSPLIT(B17, "-")</f>
        <v>tittonel</v>
      </c>
      <c r="D17" t="str">
        <v>sysageco</v>
      </c>
      <c r="E17" s="112" t="str">
        <f t="shared" si="0"/>
        <v>Tittonell 2023_sysageco</v>
      </c>
    </row>
    <row r="18" spans="1:5" ht="20.399999999999999">
      <c r="A18" s="110" t="s">
        <v>2427</v>
      </c>
      <c r="B18" s="110" t="s">
        <v>2380</v>
      </c>
      <c r="C18" s="112" t="str" cm="1">
        <f t="array" ref="C18">_xlfn.TEXTSPLIT(B18, "-")</f>
        <v>mea</v>
      </c>
      <c r="D18" t="s">
        <v>2380</v>
      </c>
      <c r="E18" s="112" t="str">
        <f t="shared" si="0"/>
        <v>Millennium Ecosystem Assessment 2005_mea</v>
      </c>
    </row>
    <row r="19" spans="1:5">
      <c r="A19" s="110" t="s">
        <v>2428</v>
      </c>
      <c r="B19" s="110" t="s">
        <v>2382</v>
      </c>
      <c r="C19" s="112" t="str" cm="1">
        <f t="array" ref="C19">_xlfn.TEXTSPLIT(B19, "-")</f>
        <v>common_4returns</v>
      </c>
      <c r="E19" s="112" t="str">
        <f t="shared" si="0"/>
        <v>Commonland et al 2024_</v>
      </c>
    </row>
    <row r="20" spans="1:5">
      <c r="A20" s="110" t="s">
        <v>2429</v>
      </c>
      <c r="B20" s="110" t="s">
        <v>2385</v>
      </c>
      <c r="C20" s="112" t="str" cm="1">
        <f t="array" ref="C20:D20">_xlfn.TEXTSPLIT(B20, "-")</f>
        <v>ski</v>
      </c>
      <c r="D20" t="str">
        <v>lstoolkit</v>
      </c>
      <c r="E20" s="112" t="str">
        <f t="shared" si="0"/>
        <v>SKI 2021_lstoolkit</v>
      </c>
    </row>
    <row r="21" spans="1:5">
      <c r="A21" s="110" t="s">
        <v>2430</v>
      </c>
      <c r="B21" s="110" t="s">
        <v>2387</v>
      </c>
      <c r="C21" s="112" t="str" cm="1">
        <f t="array" ref="C21:D21">_xlfn.TEXTSPLIT(B21, "-")</f>
        <v>fao</v>
      </c>
      <c r="D21" t="str">
        <v>gspaf</v>
      </c>
      <c r="E21" s="112" t="str">
        <f t="shared" si="0"/>
        <v>FAO-OEWG 2022_gspaf</v>
      </c>
    </row>
    <row r="22" spans="1:5" ht="20.399999999999999">
      <c r="A22" s="110" t="s">
        <v>2431</v>
      </c>
      <c r="B22" s="110" t="s">
        <v>2389</v>
      </c>
      <c r="C22" s="112" t="str" cm="1">
        <f t="array" ref="C22">_xlfn.TEXTSPLIT(B22, "-")</f>
        <v>cices</v>
      </c>
      <c r="D22" t="s">
        <v>2389</v>
      </c>
      <c r="E22" s="112" t="str">
        <f t="shared" si="0"/>
        <v>Haines-Young and Potschin 2018_cices</v>
      </c>
    </row>
    <row r="23" spans="1:5">
      <c r="A23" s="110" t="s">
        <v>2432</v>
      </c>
      <c r="B23" s="110" t="s">
        <v>2391</v>
      </c>
      <c r="C23" s="112" t="str" cm="1">
        <f t="array" ref="C23">_xlfn.TEXTSPLIT(B23, "-")</f>
        <v>ldn_cf_journal</v>
      </c>
      <c r="E23" s="112" t="str">
        <f t="shared" si="0"/>
        <v>Cowie et al. 2018_</v>
      </c>
    </row>
    <row r="24" spans="1:5">
      <c r="A24" s="110" t="s">
        <v>2433</v>
      </c>
      <c r="B24" s="110" t="s">
        <v>2393</v>
      </c>
      <c r="C24" s="112" t="str" cm="1">
        <f t="array" ref="C24">_xlfn.TEXTSPLIT(B24, "-")</f>
        <v>la4aa</v>
      </c>
      <c r="D24" t="str">
        <f>B24</f>
        <v>la4aa</v>
      </c>
      <c r="E24" s="112" t="str">
        <f t="shared" si="0"/>
        <v>Plieninger et al. 2020_la4aa</v>
      </c>
    </row>
    <row r="25" spans="1:5">
      <c r="A25" s="110" t="s">
        <v>2434</v>
      </c>
      <c r="B25" s="110" t="s">
        <v>2395</v>
      </c>
      <c r="C25" s="112" t="str" cm="1">
        <f t="array" ref="C25">_xlfn.TEXTSPLIT(B25, "-")</f>
        <v>mesmis</v>
      </c>
      <c r="D25" t="str">
        <f>B25</f>
        <v>mesmis</v>
      </c>
      <c r="E25" s="112" t="str">
        <f t="shared" si="0"/>
        <v>López-Ridaura et al. 2002_mesmis</v>
      </c>
    </row>
    <row r="26" spans="1:5">
      <c r="A26" s="110" t="s">
        <v>2435</v>
      </c>
      <c r="B26" s="110" t="s">
        <v>2397</v>
      </c>
      <c r="C26" s="112" t="str" cm="1">
        <f t="array" ref="C26:D26">_xlfn.TEXTSPLIT(B26, "-")</f>
        <v>ids</v>
      </c>
      <c r="D26" t="str">
        <v>srlf</v>
      </c>
      <c r="E26" s="112" t="str">
        <f t="shared" si="0"/>
        <v>Scoones 1998_srlf</v>
      </c>
    </row>
    <row r="27" spans="1:5">
      <c r="A27" s="110" t="s">
        <v>2436</v>
      </c>
      <c r="B27" s="110" t="s">
        <v>2399</v>
      </c>
      <c r="C27" s="112" t="str" cm="1">
        <f t="array" ref="C27:D27">_xlfn.TEXTSPLIT(B27, "-")</f>
        <v>posthumus</v>
      </c>
      <c r="D27" t="str">
        <v>fsdst</v>
      </c>
      <c r="E27" s="112" t="str">
        <f t="shared" si="0"/>
        <v>Posthumus et al. 2021_fsdst</v>
      </c>
    </row>
    <row r="28" spans="1:5">
      <c r="A28" s="110" t="s">
        <v>2437</v>
      </c>
      <c r="B28" s="110" t="s">
        <v>64</v>
      </c>
      <c r="C28" s="112" t="str" cm="1">
        <f t="array" ref="C28:D28">_xlfn.TEXTSPLIT(B28, "-")</f>
        <v>cgiar</v>
      </c>
      <c r="D28" t="str">
        <v>ll</v>
      </c>
      <c r="E28" s="112" t="str">
        <f t="shared" si="0"/>
        <v>Triomphe et al. 2022_ll</v>
      </c>
    </row>
    <row r="29" spans="1:5" ht="20.399999999999999">
      <c r="A29" s="110" t="s">
        <v>2438</v>
      </c>
      <c r="B29" s="110" t="s">
        <v>2402</v>
      </c>
      <c r="C29" s="112" t="str" cm="1">
        <f t="array" ref="C29:D29">_xlfn.TEXTSPLIT(B29, "-")</f>
        <v>ilm</v>
      </c>
      <c r="D29" t="str">
        <v>practical</v>
      </c>
      <c r="E29" s="112" t="str">
        <f t="shared" si="0"/>
        <v>1000 Landscapes for 1 Billion People 2022a_practical</v>
      </c>
    </row>
    <row r="30" spans="1:5">
      <c r="A30" s="110" t="s">
        <v>2439</v>
      </c>
      <c r="B30" s="110" t="s">
        <v>2404</v>
      </c>
      <c r="C30" s="112" t="str" cm="1">
        <f t="array" ref="C30:D30">_xlfn.TEXTSPLIT(B30, "-")</f>
        <v>cbd</v>
      </c>
      <c r="D30" t="str">
        <v>nea</v>
      </c>
      <c r="E30" s="112" t="str">
        <f t="shared" si="0"/>
        <v>UNEP-WCMC 2021_nea</v>
      </c>
    </row>
    <row r="31" spans="1:5" ht="20.399999999999999">
      <c r="A31" s="110" t="s">
        <v>2440</v>
      </c>
      <c r="B31" s="110" t="s">
        <v>2406</v>
      </c>
      <c r="C31" s="112"/>
      <c r="D31" t="s">
        <v>2474</v>
      </c>
      <c r="E31" s="112" t="str">
        <f t="shared" si="0"/>
        <v>1000 Landscapes for 1 Billion People 2022b_ulm</v>
      </c>
    </row>
    <row r="32" spans="1:5">
      <c r="A32" s="110" t="s">
        <v>2441</v>
      </c>
      <c r="B32" s="110" t="s">
        <v>2407</v>
      </c>
      <c r="C32" s="112" t="str" cm="1">
        <f t="array" ref="C32:D32">_xlfn.TEXTSPLIT(B32, "-")</f>
        <v>ejp</v>
      </c>
      <c r="D32" t="str">
        <v>shttas</v>
      </c>
      <c r="E32" s="112" t="str">
        <f t="shared" si="0"/>
        <v>Matson et al. 2024a_shttas</v>
      </c>
    </row>
    <row r="33" spans="1:5" ht="15" thickBot="1">
      <c r="A33" s="111" t="s">
        <v>2442</v>
      </c>
      <c r="B33" s="111" t="s">
        <v>2409</v>
      </c>
      <c r="C33" s="112" t="str" cm="1">
        <f t="array" ref="C33:D33">_xlfn.TEXTSPLIT(B33, "-")</f>
        <v>sai</v>
      </c>
      <c r="D33" t="str">
        <v>raag</v>
      </c>
      <c r="E33" s="112" t="str">
        <f t="shared" si="0"/>
        <v>SAI Platform 2023_raag</v>
      </c>
    </row>
    <row r="34" spans="1:5">
      <c r="A34" s="110" t="s">
        <v>2443</v>
      </c>
      <c r="B34" s="110" t="s">
        <v>2350</v>
      </c>
      <c r="C34" s="112" t="str" cm="1">
        <f t="array" ref="C34:D34">_xlfn.TEXTSPLIT(B34, "-")</f>
        <v>nestle</v>
      </c>
      <c r="D34" t="str">
        <v>raf</v>
      </c>
      <c r="E34" s="112" t="str">
        <f t="shared" si="0"/>
        <v>Nestle 2024_raf</v>
      </c>
    </row>
    <row r="35" spans="1:5">
      <c r="A35" s="110" t="s">
        <v>2444</v>
      </c>
      <c r="B35" s="110" t="s">
        <v>2352</v>
      </c>
      <c r="C35" s="112" t="str" cm="1">
        <f t="array" ref="C35:D35">_xlfn.TEXTSPLIT(B35, "-")</f>
        <v>fao</v>
      </c>
      <c r="D35" t="str">
        <v>agroecology</v>
      </c>
      <c r="E35" s="112" t="str">
        <f t="shared" si="0"/>
        <v>FAO 2018_agroecology</v>
      </c>
    </row>
    <row r="36" spans="1:5">
      <c r="A36" s="110" t="s">
        <v>2445</v>
      </c>
      <c r="B36" s="110" t="s">
        <v>2354</v>
      </c>
      <c r="C36" s="112" t="str" cm="1">
        <f t="array" ref="C36">_xlfn.TEXTSPLIT(B36, "-")</f>
        <v>ftf_gsiaf</v>
      </c>
      <c r="D36" t="s">
        <v>2475</v>
      </c>
      <c r="E36" s="112" t="str">
        <f t="shared" si="0"/>
        <v>Musumba et al. 2017_gsiaf</v>
      </c>
    </row>
    <row r="37" spans="1:5">
      <c r="A37" s="110" t="s">
        <v>2446</v>
      </c>
      <c r="B37" s="110" t="s">
        <v>2356</v>
      </c>
      <c r="C37" s="112" t="str" cm="1">
        <f t="array" ref="C37:D37">_xlfn.TEXTSPLIT(B37, "-")</f>
        <v>eu</v>
      </c>
      <c r="D37" t="str">
        <v>ss2030</v>
      </c>
      <c r="E37" s="112" t="str">
        <f t="shared" si="0"/>
        <v>European Commission 2021_ss2030</v>
      </c>
    </row>
    <row r="38" spans="1:5">
      <c r="A38" s="110" t="s">
        <v>2447</v>
      </c>
      <c r="B38" s="110" t="s">
        <v>2358</v>
      </c>
      <c r="C38" s="112" t="str" cm="1">
        <f t="array" ref="C38">_xlfn.TEXTSPLIT(B38, "-")</f>
        <v>teeb</v>
      </c>
      <c r="D38" t="s">
        <v>2358</v>
      </c>
      <c r="E38" s="112" t="str">
        <f t="shared" si="0"/>
        <v>Neßhöver et al. 2012_teeb</v>
      </c>
    </row>
    <row r="39" spans="1:5">
      <c r="A39" s="110" t="s">
        <v>2448</v>
      </c>
      <c r="B39" s="110" t="s">
        <v>2360</v>
      </c>
      <c r="C39" s="112" t="str" cm="1">
        <f t="array" ref="C39:D39">_xlfn.TEXTSPLIT(B39, "-")</f>
        <v>covind</v>
      </c>
      <c r="D39" t="str">
        <v>dus</v>
      </c>
      <c r="E39" s="112" t="str">
        <f t="shared" si="0"/>
        <v>Govindakrishnan et al. 2021_dus</v>
      </c>
    </row>
    <row r="40" spans="1:5">
      <c r="A40" s="110" t="s">
        <v>2449</v>
      </c>
      <c r="B40" s="110" t="s">
        <v>2362</v>
      </c>
      <c r="C40" s="112" t="str" cm="1">
        <f t="array" ref="C40:D40">_xlfn.TEXTSPLIT(B40, "-")</f>
        <v>ros</v>
      </c>
      <c r="D40" t="str">
        <v>oshafssm</v>
      </c>
      <c r="E40" s="112" t="str">
        <f t="shared" si="0"/>
        <v>Ros et al. 2022_oshafssm</v>
      </c>
    </row>
    <row r="41" spans="1:5">
      <c r="A41" s="110" t="s">
        <v>2450</v>
      </c>
      <c r="B41" s="110" t="s">
        <v>2364</v>
      </c>
      <c r="C41" s="112" t="str" cm="1">
        <f t="array" ref="C41:D41">_xlfn.TEXTSPLIT(B41, "-")</f>
        <v>fao</v>
      </c>
      <c r="D41" t="str">
        <v>passm</v>
      </c>
      <c r="E41" s="112" t="str">
        <f t="shared" si="0"/>
        <v>FAO-ITPS 2020_passm</v>
      </c>
    </row>
    <row r="42" spans="1:5">
      <c r="A42" s="110" t="s">
        <v>2451</v>
      </c>
      <c r="B42" s="110" t="s">
        <v>2366</v>
      </c>
      <c r="C42" s="112" t="str" cm="1">
        <f t="array" ref="C42:D42">_xlfn.TEXTSPLIT(B42, "-")</f>
        <v>nunes</v>
      </c>
      <c r="D42" t="str">
        <v>shape</v>
      </c>
      <c r="E42" s="112" t="str">
        <f t="shared" si="0"/>
        <v>Nunes et al. 2021_shape</v>
      </c>
    </row>
    <row r="43" spans="1:5">
      <c r="A43" s="110" t="s">
        <v>2452</v>
      </c>
      <c r="B43" s="110" t="s">
        <v>2368</v>
      </c>
      <c r="C43" s="112" t="str" cm="1">
        <f t="array" ref="C43:D43">_xlfn.TEXTSPLIT(B43, "-")</f>
        <v>steve</v>
      </c>
      <c r="D43" t="str">
        <v>aesshf</v>
      </c>
      <c r="E43" s="112" t="str">
        <f t="shared" si="0"/>
        <v>Apfelbaum et al. 2019_aesshf</v>
      </c>
    </row>
    <row r="44" spans="1:5">
      <c r="A44" s="110" t="s">
        <v>2453</v>
      </c>
      <c r="B44" s="110" t="s">
        <v>2370</v>
      </c>
      <c r="C44" s="112" t="str" cm="1">
        <f t="array" ref="C44:D44">_xlfn.TEXTSPLIT(B44, "-")</f>
        <v>usda</v>
      </c>
      <c r="D44" t="str">
        <v>cfshag</v>
      </c>
      <c r="E44" s="112" t="str">
        <f t="shared" si="0"/>
        <v>USDA-NRCS 2021_cfshag</v>
      </c>
    </row>
    <row r="45" spans="1:5">
      <c r="A45" s="110" t="s">
        <v>2454</v>
      </c>
      <c r="B45" s="110" t="s">
        <v>2372</v>
      </c>
      <c r="C45" s="112" t="str" cm="1">
        <f t="array" ref="C45:D45">_xlfn.TEXTSPLIT(B45, "-")</f>
        <v>jian</v>
      </c>
      <c r="D45" t="str">
        <v>dgsha</v>
      </c>
      <c r="E45" s="112" t="str">
        <f t="shared" si="0"/>
        <v>Jian et al. 2020_dgsha</v>
      </c>
    </row>
    <row r="46" spans="1:5">
      <c r="A46" s="110" t="s">
        <v>2455</v>
      </c>
      <c r="B46" s="110" t="s">
        <v>2374</v>
      </c>
      <c r="C46" s="112" t="str" cm="1">
        <f t="array" ref="C46:D46">_xlfn.TEXTSPLIT(B46, "-")</f>
        <v>montg</v>
      </c>
      <c r="D46" t="str">
        <v>shohph</v>
      </c>
      <c r="E46" s="112" t="str">
        <f t="shared" si="0"/>
        <v>Montgomery et al. 2024_shohph</v>
      </c>
    </row>
    <row r="47" spans="1:5">
      <c r="A47" s="110" t="s">
        <v>2456</v>
      </c>
      <c r="B47" s="110" t="s">
        <v>2376</v>
      </c>
      <c r="C47" s="112" t="str" cm="1">
        <f t="array" ref="C47:D47">_xlfn.TEXTSPLIT(B47, "-")</f>
        <v>fao</v>
      </c>
      <c r="D47" t="str">
        <v>esfsi</v>
      </c>
      <c r="E47" s="112" t="str">
        <f t="shared" si="0"/>
        <v>FAO and INRAE 2020_esfsi</v>
      </c>
    </row>
    <row r="48" spans="1:5">
      <c r="A48" s="110" t="s">
        <v>2457</v>
      </c>
      <c r="B48" s="110" t="s">
        <v>2377</v>
      </c>
      <c r="C48" s="112" t="str" cm="1">
        <f t="array" ref="C48:D48">_xlfn.TEXTSPLIT(B48, "-")</f>
        <v>fao</v>
      </c>
      <c r="D48" t="str">
        <v>tape</v>
      </c>
      <c r="E48" s="112" t="str">
        <f t="shared" si="0"/>
        <v>FAO 2019_tape</v>
      </c>
    </row>
    <row r="49" spans="1:5">
      <c r="A49" s="110" t="s">
        <v>2458</v>
      </c>
      <c r="B49" s="110" t="s">
        <v>2379</v>
      </c>
      <c r="C49" s="112" t="str" cm="1">
        <f t="array" ref="C49">_xlfn.TEXTSPLIT(B49, "-")</f>
        <v>caadp</v>
      </c>
      <c r="D49" t="s">
        <v>2379</v>
      </c>
      <c r="E49" s="112" t="str">
        <f t="shared" si="0"/>
        <v>NEPAD 2003_caadp</v>
      </c>
    </row>
    <row r="50" spans="1:5">
      <c r="A50" s="110" t="s">
        <v>2459</v>
      </c>
      <c r="B50" s="110" t="s">
        <v>2381</v>
      </c>
      <c r="C50" s="112" t="str" cm="1">
        <f t="array" ref="C50:D50">_xlfn.TEXTSPLIT(B50, "-")</f>
        <v>wri</v>
      </c>
      <c r="D50" t="str">
        <v>ehwb</v>
      </c>
      <c r="E50" s="112" t="str">
        <f t="shared" si="0"/>
        <v>Alcamo et al. 2003_ehwb</v>
      </c>
    </row>
    <row r="51" spans="1:5">
      <c r="A51" s="110" t="s">
        <v>2460</v>
      </c>
      <c r="B51" s="110" t="s">
        <v>2383</v>
      </c>
      <c r="C51" s="112" t="str" cm="1">
        <f t="array" ref="C51:D51">_xlfn.TEXTSPLIT(B51, "-")</f>
        <v>fao</v>
      </c>
      <c r="D51" t="str">
        <v>almsfa</v>
      </c>
      <c r="E51" s="112" t="str">
        <f t="shared" si="0"/>
        <v>FAO 2017a_almsfa</v>
      </c>
    </row>
    <row r="52" spans="1:5">
      <c r="A52" s="110" t="s">
        <v>2432</v>
      </c>
      <c r="B52" s="110" t="s">
        <v>2384</v>
      </c>
      <c r="C52" s="112" t="str" cm="1">
        <f t="array" ref="C52:D52">_xlfn.TEXTSPLIT(B52, "-")</f>
        <v>unccd</v>
      </c>
      <c r="D52" t="str">
        <v>ldn</v>
      </c>
      <c r="E52" s="112" t="str">
        <f t="shared" si="0"/>
        <v>Cowie et al. 2018_ldn</v>
      </c>
    </row>
    <row r="53" spans="1:5">
      <c r="A53" s="110" t="s">
        <v>2461</v>
      </c>
      <c r="B53" s="110" t="s">
        <v>2386</v>
      </c>
      <c r="C53" s="112" t="str" cm="1">
        <f t="array" ref="C53">_xlfn.TEXTSPLIT(B53, "-")</f>
        <v>sayer_la</v>
      </c>
      <c r="D53" t="s">
        <v>2476</v>
      </c>
      <c r="E53" s="112" t="str">
        <f t="shared" si="0"/>
        <v>Sayer et al. 2013_la</v>
      </c>
    </row>
    <row r="54" spans="1:5" ht="20.399999999999999">
      <c r="A54" s="110" t="s">
        <v>2462</v>
      </c>
      <c r="B54" s="110" t="s">
        <v>2388</v>
      </c>
      <c r="C54" s="112" t="str" cm="1">
        <f t="array" ref="C54:D54">_xlfn.TEXTSPLIT(B54, "-")</f>
        <v>ifpri</v>
      </c>
      <c r="D54" t="str">
        <v>gr</v>
      </c>
      <c r="E54" s="112" t="str">
        <f t="shared" si="0"/>
        <v>Pinstrup‐Andersen and Hazell 1985_gr</v>
      </c>
    </row>
    <row r="55" spans="1:5">
      <c r="A55" s="110" t="s">
        <v>2463</v>
      </c>
      <c r="B55" s="110" t="s">
        <v>2390</v>
      </c>
      <c r="C55" s="112" t="str" cm="1">
        <f t="array" ref="C55:D55">_xlfn.TEXTSPLIT(B55, "-")</f>
        <v>4rns</v>
      </c>
      <c r="D55" t="str">
        <v>inue</v>
      </c>
      <c r="E55" s="112" t="str">
        <f t="shared" si="0"/>
        <v>Johnston and Bruulsema 2014_inue</v>
      </c>
    </row>
    <row r="56" spans="1:5">
      <c r="A56" s="110" t="s">
        <v>2464</v>
      </c>
      <c r="B56" s="110" t="s">
        <v>2392</v>
      </c>
      <c r="C56" s="112" t="str" cm="1">
        <f t="array" ref="C56:D56">_xlfn.TEXTSPLIT(B56, "-")</f>
        <v>birner</v>
      </c>
      <c r="D56" t="str">
        <v>pepsa</v>
      </c>
      <c r="E56" s="112" t="str">
        <f t="shared" si="0"/>
        <v>Birner and Resnick 2010_pepsa</v>
      </c>
    </row>
    <row r="57" spans="1:5">
      <c r="A57" s="110" t="s">
        <v>2465</v>
      </c>
      <c r="B57" s="110" t="s">
        <v>2394</v>
      </c>
      <c r="C57" s="112" t="str" cm="1">
        <f t="array" ref="C57">_xlfn.TEXTSPLIT(B57, "-")</f>
        <v>si4af</v>
      </c>
      <c r="D57" t="s">
        <v>2394</v>
      </c>
      <c r="E57" s="112" t="str">
        <f t="shared" si="0"/>
        <v>AGRF 2020_si4af</v>
      </c>
    </row>
    <row r="58" spans="1:5">
      <c r="A58" s="110" t="s">
        <v>2466</v>
      </c>
      <c r="B58" s="110" t="s">
        <v>2396</v>
      </c>
      <c r="C58" s="112" t="str" cm="1">
        <f t="array" ref="C58:D58">_xlfn.TEXTSPLIT(B58, "-")</f>
        <v>wezel</v>
      </c>
      <c r="D58" t="str">
        <v>tape</v>
      </c>
      <c r="E58" s="112" t="str">
        <f t="shared" si="0"/>
        <v>Wezel et al. 2020_tape</v>
      </c>
    </row>
    <row r="59" spans="1:5">
      <c r="A59" s="110" t="s">
        <v>2467</v>
      </c>
      <c r="B59" s="110" t="s">
        <v>2398</v>
      </c>
      <c r="C59" s="112" t="str" cm="1">
        <f t="array" ref="C59">_xlfn.TEXTSPLIT(B59, "-")</f>
        <v>fsat</v>
      </c>
      <c r="D59" t="s">
        <v>2398</v>
      </c>
      <c r="E59" s="112" t="str">
        <f t="shared" si="0"/>
        <v>FS-TIP 2021_fsat</v>
      </c>
    </row>
    <row r="60" spans="1:5">
      <c r="A60" s="110" t="s">
        <v>2468</v>
      </c>
      <c r="B60" s="110" t="s">
        <v>2400</v>
      </c>
      <c r="C60" s="112" t="str" cm="1">
        <f t="array" ref="C60:D60">_xlfn.TEXTSPLIT(B60, "-")</f>
        <v>unccd</v>
      </c>
      <c r="D60" t="str">
        <v>ilm</v>
      </c>
      <c r="E60" s="112" t="str">
        <f t="shared" si="0"/>
        <v>Thaxton et al. 2017_ilm</v>
      </c>
    </row>
    <row r="61" spans="1:5">
      <c r="A61" s="110" t="s">
        <v>2469</v>
      </c>
      <c r="B61" s="110" t="s">
        <v>2401</v>
      </c>
      <c r="C61" s="112" t="str" cm="1">
        <f t="array" ref="C61:D61">_xlfn.TEXTSPLIT(B61, "-")</f>
        <v>mn</v>
      </c>
      <c r="D61" t="str">
        <v>shaf</v>
      </c>
      <c r="E61" s="112" t="str">
        <f t="shared" si="0"/>
        <v>Rhees et al. 2024_shaf</v>
      </c>
    </row>
    <row r="62" spans="1:5">
      <c r="A62" s="110" t="s">
        <v>2470</v>
      </c>
      <c r="B62" s="110" t="s">
        <v>2403</v>
      </c>
      <c r="C62" s="112" t="str" cm="1">
        <f t="array" ref="C62:D62">_xlfn.TEXTSPLIT(B62, "-")</f>
        <v>ipes</v>
      </c>
      <c r="D62" t="str">
        <v>food</v>
      </c>
      <c r="E62" s="112" t="str">
        <f t="shared" si="0"/>
        <v>iPES 2015_food</v>
      </c>
    </row>
    <row r="63" spans="1:5">
      <c r="A63" s="110" t="s">
        <v>2471</v>
      </c>
      <c r="B63" s="110" t="s">
        <v>2405</v>
      </c>
      <c r="C63" s="112" t="str" cm="1">
        <f t="array" ref="C63:D63">_xlfn.TEXTSPLIT(B63, "-")</f>
        <v>ploeg</v>
      </c>
      <c r="D63" t="str">
        <v>peae</v>
      </c>
      <c r="E63" s="112" t="str">
        <f t="shared" si="0"/>
        <v>van der Ploeg 2021_peae</v>
      </c>
    </row>
    <row r="64" spans="1:5">
      <c r="A64" s="110" t="s">
        <v>2472</v>
      </c>
      <c r="B64" s="110" t="s">
        <v>2408</v>
      </c>
      <c r="C64" s="112" t="str" cm="1">
        <f t="array" ref="C64">_xlfn.TEXTSPLIT(B64, "-")</f>
        <v>caadpresult</v>
      </c>
      <c r="D64" t="str">
        <f>C64</f>
        <v>caadpresult</v>
      </c>
      <c r="E64" s="112" t="str">
        <f t="shared" si="0"/>
        <v>NEPAD 2015_caadpresult</v>
      </c>
    </row>
    <row r="65" spans="1:5" ht="15" thickBot="1">
      <c r="A65" s="111" t="s">
        <v>2473</v>
      </c>
      <c r="B65" s="111" t="s">
        <v>2410</v>
      </c>
      <c r="C65" s="112" t="str" cm="1">
        <f t="array" ref="C65">_xlfn.TEXTSPLIT(B65, "-")</f>
        <v>cbd</v>
      </c>
      <c r="D65" t="s">
        <v>2410</v>
      </c>
      <c r="E65" s="112" t="str">
        <f t="shared" si="0"/>
        <v>UNEP 2011_cbd</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750B7-85F0-4F8E-BE96-E4F7E06B8418}">
  <dimension ref="A1:AL39"/>
  <sheetViews>
    <sheetView workbookViewId="0">
      <selection activeCell="H28" sqref="H28"/>
    </sheetView>
  </sheetViews>
  <sheetFormatPr defaultRowHeight="14.4"/>
  <cols>
    <col min="2" max="2" width="12.44140625" style="35" bestFit="1" customWidth="1"/>
    <col min="3" max="3" width="11.6640625" style="35" bestFit="1" customWidth="1"/>
    <col min="4" max="4" width="11.77734375" style="35" bestFit="1" customWidth="1"/>
    <col min="5" max="5" width="12.6640625" style="35" customWidth="1"/>
    <col min="6" max="6" width="11.77734375" style="35" customWidth="1"/>
    <col min="7" max="7" width="11.33203125" style="35" bestFit="1" customWidth="1"/>
    <col min="8" max="8" width="11.77734375" style="35" customWidth="1"/>
    <col min="9" max="9" width="11" style="35" bestFit="1" customWidth="1"/>
    <col min="10" max="11" width="11.77734375" style="35" customWidth="1"/>
    <col min="12" max="12" width="12.6640625" style="35" customWidth="1"/>
    <col min="13" max="13" width="11.77734375" style="35" customWidth="1"/>
    <col min="14" max="14" width="9.6640625" style="35" bestFit="1" customWidth="1"/>
  </cols>
  <sheetData>
    <row r="1" spans="16:38">
      <c r="P1" s="29" t="s">
        <v>165</v>
      </c>
      <c r="Q1" s="29" t="s">
        <v>166</v>
      </c>
      <c r="R1" s="29" t="s">
        <v>167</v>
      </c>
      <c r="S1" s="29"/>
      <c r="T1" s="29"/>
      <c r="U1" s="29"/>
      <c r="V1" s="29"/>
      <c r="W1" s="29"/>
      <c r="X1" s="29"/>
      <c r="Y1" s="29"/>
      <c r="Z1" s="29"/>
      <c r="AA1" s="29"/>
      <c r="AB1" s="29"/>
      <c r="AC1" s="29"/>
      <c r="AD1" s="29"/>
      <c r="AE1" s="29"/>
      <c r="AF1" s="29"/>
      <c r="AG1" s="29"/>
      <c r="AH1" s="29"/>
      <c r="AI1" s="29"/>
      <c r="AJ1" s="29"/>
      <c r="AK1" s="29"/>
      <c r="AL1" s="29"/>
    </row>
    <row r="2" spans="16:38" ht="16.8">
      <c r="P2" s="30" t="s">
        <v>168</v>
      </c>
      <c r="Q2" s="31" t="s">
        <v>169</v>
      </c>
      <c r="R2" s="32" t="s">
        <v>168</v>
      </c>
      <c r="S2" s="30" t="s">
        <v>502</v>
      </c>
      <c r="T2" s="30" t="s">
        <v>503</v>
      </c>
      <c r="U2" s="30"/>
      <c r="V2" s="30"/>
      <c r="W2" s="30"/>
      <c r="X2" s="30"/>
      <c r="Y2" s="30"/>
      <c r="Z2" s="30"/>
      <c r="AA2" s="30"/>
      <c r="AB2" s="30"/>
      <c r="AC2" s="30"/>
      <c r="AD2" s="30"/>
      <c r="AE2" s="30"/>
      <c r="AF2" s="30"/>
      <c r="AG2" s="30"/>
      <c r="AH2" s="30"/>
      <c r="AI2" s="30"/>
      <c r="AJ2" s="30"/>
      <c r="AK2" s="30"/>
      <c r="AL2" s="30"/>
    </row>
    <row r="3" spans="16:38" ht="16.8">
      <c r="P3" s="30"/>
      <c r="Q3" s="31" t="s">
        <v>173</v>
      </c>
      <c r="R3" s="33" t="s">
        <v>654</v>
      </c>
      <c r="S3" s="30" t="s">
        <v>504</v>
      </c>
      <c r="T3" s="34" t="s">
        <v>501</v>
      </c>
      <c r="U3" s="30" t="s">
        <v>505</v>
      </c>
      <c r="V3" s="30" t="s">
        <v>506</v>
      </c>
      <c r="W3" s="30" t="s">
        <v>507</v>
      </c>
      <c r="X3" s="30" t="s">
        <v>508</v>
      </c>
      <c r="Y3" s="30" t="s">
        <v>509</v>
      </c>
      <c r="Z3" s="30" t="s">
        <v>510</v>
      </c>
      <c r="AA3" s="30" t="s">
        <v>511</v>
      </c>
      <c r="AB3" s="30" t="s">
        <v>512</v>
      </c>
      <c r="AC3" s="30" t="s">
        <v>513</v>
      </c>
      <c r="AD3" s="30" t="s">
        <v>514</v>
      </c>
      <c r="AE3" s="30" t="s">
        <v>515</v>
      </c>
      <c r="AF3" s="30" t="s">
        <v>516</v>
      </c>
      <c r="AG3" s="30" t="s">
        <v>517</v>
      </c>
      <c r="AH3" s="30" t="s">
        <v>518</v>
      </c>
      <c r="AI3" s="30" t="s">
        <v>519</v>
      </c>
      <c r="AJ3" s="30" t="s">
        <v>498</v>
      </c>
      <c r="AK3" s="30" t="s">
        <v>520</v>
      </c>
      <c r="AL3" s="30"/>
    </row>
    <row r="4" spans="16:38" ht="16.8">
      <c r="P4" s="30"/>
      <c r="Q4" s="31" t="s">
        <v>194</v>
      </c>
      <c r="R4" s="33" t="s">
        <v>655</v>
      </c>
      <c r="S4" s="30" t="s">
        <v>521</v>
      </c>
      <c r="T4" s="30" t="s">
        <v>522</v>
      </c>
      <c r="U4" s="30" t="s">
        <v>523</v>
      </c>
      <c r="V4" s="30" t="s">
        <v>524</v>
      </c>
      <c r="W4" s="30" t="s">
        <v>525</v>
      </c>
      <c r="X4" s="30" t="s">
        <v>526</v>
      </c>
      <c r="Y4" s="30"/>
      <c r="Z4" s="30"/>
      <c r="AA4" s="30"/>
      <c r="AB4" s="30"/>
      <c r="AC4" s="30"/>
      <c r="AD4" s="30"/>
      <c r="AE4" s="30"/>
      <c r="AF4" s="30"/>
      <c r="AG4" s="30"/>
      <c r="AH4" s="30"/>
      <c r="AI4" s="30"/>
      <c r="AJ4" s="30"/>
      <c r="AK4" s="30"/>
      <c r="AL4" s="30"/>
    </row>
    <row r="5" spans="16:38" ht="16.8">
      <c r="P5" s="30" t="s">
        <v>202</v>
      </c>
      <c r="Q5" s="31" t="s">
        <v>203</v>
      </c>
      <c r="R5" s="31" t="s">
        <v>656</v>
      </c>
      <c r="S5" s="30" t="s">
        <v>527</v>
      </c>
      <c r="T5" s="30" t="s">
        <v>528</v>
      </c>
      <c r="U5" s="30" t="s">
        <v>529</v>
      </c>
      <c r="V5" s="30" t="s">
        <v>499</v>
      </c>
      <c r="W5" s="30" t="s">
        <v>530</v>
      </c>
      <c r="X5" s="30" t="s">
        <v>531</v>
      </c>
      <c r="Y5" s="30" t="s">
        <v>532</v>
      </c>
      <c r="Z5" s="30" t="s">
        <v>533</v>
      </c>
      <c r="AA5" s="30" t="s">
        <v>534</v>
      </c>
      <c r="AB5" s="30" t="s">
        <v>535</v>
      </c>
      <c r="AC5" s="30" t="s">
        <v>536</v>
      </c>
      <c r="AD5" s="30"/>
      <c r="AE5" s="30"/>
      <c r="AF5" s="30"/>
      <c r="AG5" s="30"/>
      <c r="AH5" s="30"/>
      <c r="AI5" s="30"/>
      <c r="AJ5" s="30"/>
      <c r="AK5" s="30"/>
      <c r="AL5" s="30"/>
    </row>
    <row r="6" spans="16:38" ht="16.8">
      <c r="P6" s="30"/>
      <c r="Q6" s="31" t="s">
        <v>216</v>
      </c>
      <c r="R6" s="33" t="s">
        <v>202</v>
      </c>
      <c r="S6" s="30" t="s">
        <v>537</v>
      </c>
      <c r="T6" s="30" t="s">
        <v>538</v>
      </c>
      <c r="U6" s="30" t="s">
        <v>539</v>
      </c>
      <c r="V6" s="30" t="s">
        <v>540</v>
      </c>
      <c r="W6" s="30" t="s">
        <v>541</v>
      </c>
      <c r="X6" s="30" t="s">
        <v>542</v>
      </c>
      <c r="Y6" s="30" t="s">
        <v>543</v>
      </c>
      <c r="Z6" s="30" t="s">
        <v>544</v>
      </c>
      <c r="AA6" s="30" t="s">
        <v>533</v>
      </c>
      <c r="AB6" s="30" t="s">
        <v>545</v>
      </c>
      <c r="AC6" s="30" t="s">
        <v>546</v>
      </c>
      <c r="AD6" s="30" t="s">
        <v>547</v>
      </c>
      <c r="AE6" s="30" t="s">
        <v>548</v>
      </c>
      <c r="AF6" s="30"/>
      <c r="AG6" s="30"/>
      <c r="AH6" s="30"/>
      <c r="AI6" s="30"/>
      <c r="AJ6" s="30"/>
      <c r="AK6" s="30"/>
      <c r="AL6" s="30"/>
    </row>
    <row r="7" spans="16:38" ht="16.8">
      <c r="P7" s="30"/>
      <c r="Q7" s="31" t="s">
        <v>230</v>
      </c>
      <c r="R7" s="33" t="s">
        <v>654</v>
      </c>
      <c r="S7" s="30" t="s">
        <v>549</v>
      </c>
      <c r="T7" s="30" t="s">
        <v>504</v>
      </c>
      <c r="U7" s="30" t="s">
        <v>550</v>
      </c>
      <c r="V7" s="30" t="s">
        <v>551</v>
      </c>
      <c r="W7" s="30" t="s">
        <v>552</v>
      </c>
      <c r="X7" s="30" t="s">
        <v>553</v>
      </c>
      <c r="Y7" s="30" t="s">
        <v>554</v>
      </c>
      <c r="Z7" s="30" t="s">
        <v>555</v>
      </c>
      <c r="AA7" s="30" t="s">
        <v>507</v>
      </c>
      <c r="AB7" s="30" t="s">
        <v>508</v>
      </c>
      <c r="AC7" s="30" t="s">
        <v>509</v>
      </c>
      <c r="AD7" s="30" t="s">
        <v>510</v>
      </c>
      <c r="AE7" s="30" t="s">
        <v>511</v>
      </c>
      <c r="AF7" s="30" t="s">
        <v>512</v>
      </c>
      <c r="AG7" s="30" t="s">
        <v>514</v>
      </c>
      <c r="AH7" s="30" t="s">
        <v>515</v>
      </c>
      <c r="AI7" s="30" t="s">
        <v>517</v>
      </c>
      <c r="AJ7" s="30" t="s">
        <v>556</v>
      </c>
      <c r="AK7" s="30" t="s">
        <v>498</v>
      </c>
      <c r="AL7" s="30" t="s">
        <v>557</v>
      </c>
    </row>
    <row r="8" spans="16:38" ht="16.8">
      <c r="P8" s="30"/>
      <c r="Q8" s="31" t="s">
        <v>241</v>
      </c>
      <c r="R8" s="33" t="s">
        <v>504</v>
      </c>
      <c r="S8" s="30" t="s">
        <v>558</v>
      </c>
      <c r="T8" s="30" t="s">
        <v>559</v>
      </c>
      <c r="U8" s="30" t="s">
        <v>560</v>
      </c>
      <c r="V8" s="30" t="s">
        <v>561</v>
      </c>
      <c r="W8" s="30" t="s">
        <v>562</v>
      </c>
      <c r="X8" s="30" t="s">
        <v>563</v>
      </c>
      <c r="Y8" s="30" t="s">
        <v>564</v>
      </c>
      <c r="Z8" s="30" t="s">
        <v>565</v>
      </c>
      <c r="AA8" s="30" t="s">
        <v>566</v>
      </c>
      <c r="AB8" s="30" t="s">
        <v>567</v>
      </c>
      <c r="AC8" s="30" t="s">
        <v>568</v>
      </c>
      <c r="AD8" s="30" t="s">
        <v>569</v>
      </c>
      <c r="AE8" s="30" t="s">
        <v>570</v>
      </c>
      <c r="AF8" s="30"/>
      <c r="AG8" s="30"/>
      <c r="AH8" s="30"/>
      <c r="AI8" s="30"/>
      <c r="AJ8" s="30"/>
      <c r="AK8" s="30"/>
      <c r="AL8" s="30"/>
    </row>
    <row r="9" spans="16:38" ht="16.8">
      <c r="P9" s="30" t="s">
        <v>256</v>
      </c>
      <c r="Q9" s="33" t="s">
        <v>257</v>
      </c>
      <c r="R9" s="33" t="s">
        <v>657</v>
      </c>
      <c r="S9" s="30" t="s">
        <v>571</v>
      </c>
      <c r="T9" s="30" t="s">
        <v>572</v>
      </c>
      <c r="U9" s="30" t="s">
        <v>573</v>
      </c>
      <c r="V9" s="30" t="s">
        <v>574</v>
      </c>
      <c r="W9" s="30" t="s">
        <v>575</v>
      </c>
      <c r="X9" s="30" t="s">
        <v>576</v>
      </c>
      <c r="Y9" s="30" t="s">
        <v>577</v>
      </c>
      <c r="Z9" s="30" t="s">
        <v>578</v>
      </c>
      <c r="AA9" s="30" t="s">
        <v>579</v>
      </c>
      <c r="AB9" s="30" t="s">
        <v>580</v>
      </c>
      <c r="AC9" s="30" t="s">
        <v>581</v>
      </c>
      <c r="AD9" s="30" t="s">
        <v>582</v>
      </c>
      <c r="AE9" s="30" t="s">
        <v>583</v>
      </c>
      <c r="AF9" s="30" t="s">
        <v>584</v>
      </c>
      <c r="AG9" s="30" t="s">
        <v>585</v>
      </c>
      <c r="AH9" s="30" t="s">
        <v>586</v>
      </c>
      <c r="AI9" s="30"/>
      <c r="AJ9" s="30"/>
      <c r="AK9" s="30"/>
      <c r="AL9" s="30"/>
    </row>
    <row r="10" spans="16:38" ht="16.8">
      <c r="P10" s="30"/>
      <c r="Q10" s="33" t="s">
        <v>275</v>
      </c>
      <c r="R10" s="33" t="s">
        <v>658</v>
      </c>
      <c r="S10" s="30" t="s">
        <v>587</v>
      </c>
      <c r="T10" s="30" t="s">
        <v>588</v>
      </c>
      <c r="U10" s="30" t="s">
        <v>589</v>
      </c>
      <c r="V10" s="30" t="s">
        <v>590</v>
      </c>
      <c r="W10" s="30" t="s">
        <v>591</v>
      </c>
      <c r="X10" s="30" t="s">
        <v>592</v>
      </c>
      <c r="Y10" s="30" t="s">
        <v>593</v>
      </c>
      <c r="Z10" s="30" t="s">
        <v>594</v>
      </c>
      <c r="AA10" s="30" t="s">
        <v>595</v>
      </c>
      <c r="AB10" s="30" t="s">
        <v>596</v>
      </c>
      <c r="AC10" s="30" t="s">
        <v>597</v>
      </c>
      <c r="AD10" s="30" t="s">
        <v>598</v>
      </c>
      <c r="AE10" s="30" t="s">
        <v>599</v>
      </c>
      <c r="AF10" s="30" t="s">
        <v>600</v>
      </c>
      <c r="AG10" s="30" t="s">
        <v>601</v>
      </c>
      <c r="AH10" s="30" t="s">
        <v>602</v>
      </c>
      <c r="AI10" s="30"/>
      <c r="AJ10" s="30"/>
      <c r="AK10" s="30"/>
      <c r="AL10" s="30"/>
    </row>
    <row r="11" spans="16:38" ht="16.8">
      <c r="P11" s="30"/>
      <c r="Q11" s="33" t="s">
        <v>293</v>
      </c>
      <c r="R11" s="33" t="s">
        <v>618</v>
      </c>
      <c r="S11" s="30" t="s">
        <v>603</v>
      </c>
      <c r="T11" s="30" t="s">
        <v>604</v>
      </c>
      <c r="U11" s="30" t="s">
        <v>605</v>
      </c>
      <c r="V11" s="30" t="s">
        <v>606</v>
      </c>
      <c r="W11" s="30" t="s">
        <v>500</v>
      </c>
      <c r="X11" s="30" t="s">
        <v>607</v>
      </c>
      <c r="Y11" s="30" t="s">
        <v>608</v>
      </c>
      <c r="Z11" s="30" t="s">
        <v>609</v>
      </c>
      <c r="AA11" s="30" t="s">
        <v>610</v>
      </c>
      <c r="AB11" s="30" t="s">
        <v>611</v>
      </c>
      <c r="AC11" s="30" t="s">
        <v>612</v>
      </c>
      <c r="AD11" s="30"/>
      <c r="AE11" s="30"/>
      <c r="AF11" s="30"/>
      <c r="AG11" s="30"/>
      <c r="AH11" s="30"/>
      <c r="AI11" s="30"/>
      <c r="AJ11" s="30"/>
      <c r="AK11" s="30"/>
      <c r="AL11" s="30"/>
    </row>
    <row r="12" spans="16:38" ht="16.8">
      <c r="P12" s="30"/>
      <c r="Q12" s="33" t="s">
        <v>306</v>
      </c>
      <c r="R12" s="33" t="s">
        <v>659</v>
      </c>
      <c r="S12" s="30" t="s">
        <v>613</v>
      </c>
      <c r="T12" s="30" t="s">
        <v>614</v>
      </c>
      <c r="U12" s="30" t="s">
        <v>615</v>
      </c>
      <c r="V12" s="30" t="s">
        <v>616</v>
      </c>
      <c r="W12" s="30" t="s">
        <v>617</v>
      </c>
      <c r="X12" s="30" t="s">
        <v>618</v>
      </c>
      <c r="Y12" s="30" t="s">
        <v>619</v>
      </c>
      <c r="Z12" s="30" t="s">
        <v>620</v>
      </c>
      <c r="AA12" s="30" t="s">
        <v>621</v>
      </c>
      <c r="AB12" s="30" t="s">
        <v>622</v>
      </c>
      <c r="AC12" s="30" t="s">
        <v>623</v>
      </c>
      <c r="AD12" s="30" t="s">
        <v>624</v>
      </c>
      <c r="AE12" s="30" t="s">
        <v>625</v>
      </c>
      <c r="AF12" s="30" t="s">
        <v>626</v>
      </c>
      <c r="AG12" s="30" t="s">
        <v>627</v>
      </c>
      <c r="AH12" s="30" t="s">
        <v>628</v>
      </c>
      <c r="AI12" s="30" t="s">
        <v>629</v>
      </c>
      <c r="AJ12" s="30" t="s">
        <v>630</v>
      </c>
      <c r="AK12" s="30"/>
      <c r="AL12" s="30"/>
    </row>
    <row r="13" spans="16:38" ht="16.8">
      <c r="P13" s="30" t="s">
        <v>326</v>
      </c>
      <c r="Q13" s="31" t="s">
        <v>327</v>
      </c>
      <c r="R13" s="33" t="s">
        <v>660</v>
      </c>
      <c r="S13" s="30" t="s">
        <v>631</v>
      </c>
      <c r="T13" s="30" t="s">
        <v>632</v>
      </c>
      <c r="U13" s="30" t="s">
        <v>518</v>
      </c>
      <c r="V13" s="30" t="s">
        <v>633</v>
      </c>
      <c r="W13" s="30" t="s">
        <v>634</v>
      </c>
      <c r="X13" s="30" t="s">
        <v>635</v>
      </c>
      <c r="Y13" s="30" t="s">
        <v>636</v>
      </c>
      <c r="Z13" s="30" t="s">
        <v>637</v>
      </c>
      <c r="AA13" s="30" t="s">
        <v>638</v>
      </c>
      <c r="AB13" s="30" t="s">
        <v>639</v>
      </c>
      <c r="AC13" s="30" t="s">
        <v>640</v>
      </c>
      <c r="AD13" s="30" t="s">
        <v>641</v>
      </c>
      <c r="AE13" s="30" t="s">
        <v>642</v>
      </c>
      <c r="AF13" s="30" t="s">
        <v>643</v>
      </c>
      <c r="AG13" s="30" t="s">
        <v>644</v>
      </c>
      <c r="AH13" s="30" t="s">
        <v>645</v>
      </c>
      <c r="AI13" s="30" t="s">
        <v>646</v>
      </c>
      <c r="AJ13" s="30"/>
      <c r="AK13" s="30"/>
      <c r="AL13" s="30"/>
    </row>
    <row r="14" spans="16:38" ht="16.8">
      <c r="P14" s="30"/>
      <c r="Q14" s="31" t="s">
        <v>345</v>
      </c>
      <c r="R14" s="33" t="s">
        <v>661</v>
      </c>
      <c r="S14" s="30" t="s">
        <v>647</v>
      </c>
      <c r="T14" s="30" t="s">
        <v>648</v>
      </c>
      <c r="U14" s="30" t="s">
        <v>649</v>
      </c>
      <c r="V14" s="30" t="s">
        <v>650</v>
      </c>
      <c r="W14" s="30" t="s">
        <v>651</v>
      </c>
      <c r="X14" s="30" t="s">
        <v>652</v>
      </c>
      <c r="Y14" s="30" t="s">
        <v>653</v>
      </c>
      <c r="Z14" s="30"/>
      <c r="AA14" s="30"/>
      <c r="AB14" s="30"/>
      <c r="AC14" s="30"/>
      <c r="AD14" s="30"/>
      <c r="AE14" s="30"/>
      <c r="AF14" s="30"/>
      <c r="AG14" s="30"/>
      <c r="AH14" s="30"/>
      <c r="AI14" s="30"/>
      <c r="AJ14" s="30"/>
      <c r="AK14" s="30"/>
      <c r="AL14" s="30"/>
    </row>
    <row r="17" spans="1:14">
      <c r="A17" s="29" t="s">
        <v>165</v>
      </c>
      <c r="B17" s="116" t="s">
        <v>168</v>
      </c>
      <c r="C17" s="117"/>
      <c r="D17" s="118"/>
      <c r="E17" s="116" t="s">
        <v>202</v>
      </c>
      <c r="F17" s="117"/>
      <c r="G17" s="117"/>
      <c r="H17" s="118"/>
      <c r="I17" s="116" t="s">
        <v>256</v>
      </c>
      <c r="J17" s="117"/>
      <c r="K17" s="117"/>
      <c r="L17" s="118"/>
      <c r="M17" s="116" t="s">
        <v>326</v>
      </c>
      <c r="N17" s="118"/>
    </row>
    <row r="18" spans="1:14" ht="57.6">
      <c r="A18" s="29" t="s">
        <v>166</v>
      </c>
      <c r="B18" s="38" t="s">
        <v>169</v>
      </c>
      <c r="C18" s="38" t="s">
        <v>173</v>
      </c>
      <c r="D18" s="38" t="s">
        <v>194</v>
      </c>
      <c r="E18" s="38" t="s">
        <v>203</v>
      </c>
      <c r="F18" s="38" t="s">
        <v>216</v>
      </c>
      <c r="G18" s="38" t="s">
        <v>230</v>
      </c>
      <c r="H18" s="38" t="s">
        <v>241</v>
      </c>
      <c r="I18" s="38" t="s">
        <v>257</v>
      </c>
      <c r="J18" s="38" t="s">
        <v>275</v>
      </c>
      <c r="K18" s="38" t="s">
        <v>293</v>
      </c>
      <c r="L18" s="38" t="s">
        <v>306</v>
      </c>
      <c r="M18" s="38" t="s">
        <v>327</v>
      </c>
      <c r="N18" s="38" t="s">
        <v>345</v>
      </c>
    </row>
    <row r="19" spans="1:14" ht="43.2">
      <c r="A19" s="29" t="s">
        <v>167</v>
      </c>
      <c r="B19" s="36" t="s">
        <v>168</v>
      </c>
      <c r="C19" s="36" t="s">
        <v>654</v>
      </c>
      <c r="D19" s="36" t="s">
        <v>655</v>
      </c>
      <c r="E19" s="36" t="s">
        <v>656</v>
      </c>
      <c r="F19" s="36" t="s">
        <v>202</v>
      </c>
      <c r="G19" s="36" t="s">
        <v>654</v>
      </c>
      <c r="H19" s="36" t="s">
        <v>504</v>
      </c>
      <c r="I19" s="36" t="s">
        <v>657</v>
      </c>
      <c r="J19" s="36" t="s">
        <v>658</v>
      </c>
      <c r="K19" s="36" t="s">
        <v>618</v>
      </c>
      <c r="L19" s="36" t="s">
        <v>659</v>
      </c>
      <c r="M19" s="36" t="s">
        <v>660</v>
      </c>
      <c r="N19" s="36" t="s">
        <v>661</v>
      </c>
    </row>
    <row r="20" spans="1:14" ht="28.8">
      <c r="A20" s="29"/>
      <c r="B20" s="36" t="s">
        <v>502</v>
      </c>
      <c r="C20" s="36" t="s">
        <v>504</v>
      </c>
      <c r="D20" s="36" t="s">
        <v>521</v>
      </c>
      <c r="E20" s="36" t="s">
        <v>527</v>
      </c>
      <c r="F20" s="36" t="s">
        <v>537</v>
      </c>
      <c r="G20" s="36" t="s">
        <v>549</v>
      </c>
      <c r="H20" s="36" t="s">
        <v>558</v>
      </c>
      <c r="I20" s="36" t="s">
        <v>571</v>
      </c>
      <c r="J20" s="36" t="s">
        <v>587</v>
      </c>
      <c r="K20" s="36" t="s">
        <v>603</v>
      </c>
      <c r="L20" s="36" t="s">
        <v>613</v>
      </c>
      <c r="M20" s="36" t="s">
        <v>631</v>
      </c>
      <c r="N20" s="36" t="s">
        <v>647</v>
      </c>
    </row>
    <row r="21" spans="1:14" ht="28.8">
      <c r="A21" s="29"/>
      <c r="B21" s="36" t="s">
        <v>503</v>
      </c>
      <c r="C21" s="37" t="s">
        <v>501</v>
      </c>
      <c r="D21" s="36" t="s">
        <v>522</v>
      </c>
      <c r="E21" s="36" t="s">
        <v>528</v>
      </c>
      <c r="F21" s="36" t="s">
        <v>538</v>
      </c>
      <c r="G21" s="36" t="s">
        <v>504</v>
      </c>
      <c r="H21" s="36" t="s">
        <v>559</v>
      </c>
      <c r="I21" s="36" t="s">
        <v>572</v>
      </c>
      <c r="J21" s="36" t="s">
        <v>588</v>
      </c>
      <c r="K21" s="36" t="s">
        <v>604</v>
      </c>
      <c r="L21" s="36" t="s">
        <v>614</v>
      </c>
      <c r="M21" s="36" t="s">
        <v>632</v>
      </c>
      <c r="N21" s="36" t="s">
        <v>648</v>
      </c>
    </row>
    <row r="22" spans="1:14" ht="28.8">
      <c r="A22" s="29"/>
      <c r="B22" s="36"/>
      <c r="C22" s="36" t="s">
        <v>505</v>
      </c>
      <c r="D22" s="36" t="s">
        <v>523</v>
      </c>
      <c r="E22" s="36" t="s">
        <v>529</v>
      </c>
      <c r="F22" s="36" t="s">
        <v>539</v>
      </c>
      <c r="G22" s="36" t="s">
        <v>550</v>
      </c>
      <c r="H22" s="36" t="s">
        <v>560</v>
      </c>
      <c r="I22" s="36" t="s">
        <v>573</v>
      </c>
      <c r="J22" s="36" t="s">
        <v>589</v>
      </c>
      <c r="K22" s="36" t="s">
        <v>605</v>
      </c>
      <c r="L22" s="36" t="s">
        <v>615</v>
      </c>
      <c r="M22" s="36" t="s">
        <v>518</v>
      </c>
      <c r="N22" s="36" t="s">
        <v>649</v>
      </c>
    </row>
    <row r="23" spans="1:14" ht="28.8">
      <c r="A23" s="29"/>
      <c r="B23" s="36"/>
      <c r="C23" s="36" t="s">
        <v>506</v>
      </c>
      <c r="D23" s="36" t="s">
        <v>524</v>
      </c>
      <c r="E23" s="36" t="s">
        <v>499</v>
      </c>
      <c r="F23" s="36" t="s">
        <v>540</v>
      </c>
      <c r="G23" s="36" t="s">
        <v>551</v>
      </c>
      <c r="H23" s="36" t="s">
        <v>561</v>
      </c>
      <c r="I23" s="36" t="s">
        <v>574</v>
      </c>
      <c r="J23" s="36" t="s">
        <v>590</v>
      </c>
      <c r="K23" s="36" t="s">
        <v>606</v>
      </c>
      <c r="L23" s="36" t="s">
        <v>616</v>
      </c>
      <c r="M23" s="36" t="s">
        <v>633</v>
      </c>
      <c r="N23" s="36" t="s">
        <v>650</v>
      </c>
    </row>
    <row r="24" spans="1:14" ht="28.8">
      <c r="A24" s="29"/>
      <c r="B24" s="36"/>
      <c r="C24" s="36" t="s">
        <v>507</v>
      </c>
      <c r="D24" s="36" t="s">
        <v>525</v>
      </c>
      <c r="E24" s="36" t="s">
        <v>530</v>
      </c>
      <c r="F24" s="36" t="s">
        <v>541</v>
      </c>
      <c r="G24" s="36" t="s">
        <v>552</v>
      </c>
      <c r="H24" s="36" t="s">
        <v>562</v>
      </c>
      <c r="I24" s="36" t="s">
        <v>575</v>
      </c>
      <c r="J24" s="36" t="s">
        <v>591</v>
      </c>
      <c r="K24" s="36" t="s">
        <v>500</v>
      </c>
      <c r="L24" s="36" t="s">
        <v>617</v>
      </c>
      <c r="M24" s="36" t="s">
        <v>634</v>
      </c>
      <c r="N24" s="36" t="s">
        <v>651</v>
      </c>
    </row>
    <row r="25" spans="1:14">
      <c r="A25" s="29"/>
      <c r="B25" s="36"/>
      <c r="C25" s="36" t="s">
        <v>508</v>
      </c>
      <c r="D25" s="36" t="s">
        <v>526</v>
      </c>
      <c r="E25" s="36" t="s">
        <v>531</v>
      </c>
      <c r="F25" s="36" t="s">
        <v>542</v>
      </c>
      <c r="G25" s="36" t="s">
        <v>553</v>
      </c>
      <c r="H25" s="36" t="s">
        <v>563</v>
      </c>
      <c r="I25" s="36" t="s">
        <v>576</v>
      </c>
      <c r="J25" s="36" t="s">
        <v>592</v>
      </c>
      <c r="K25" s="36" t="s">
        <v>607</v>
      </c>
      <c r="L25" s="36" t="s">
        <v>618</v>
      </c>
      <c r="M25" s="36" t="s">
        <v>635</v>
      </c>
      <c r="N25" s="36" t="s">
        <v>652</v>
      </c>
    </row>
    <row r="26" spans="1:14" ht="28.8">
      <c r="A26" s="29"/>
      <c r="B26" s="36"/>
      <c r="C26" s="36" t="s">
        <v>509</v>
      </c>
      <c r="D26" s="36"/>
      <c r="E26" s="36" t="s">
        <v>532</v>
      </c>
      <c r="F26" s="36" t="s">
        <v>543</v>
      </c>
      <c r="G26" s="36" t="s">
        <v>554</v>
      </c>
      <c r="H26" s="36" t="s">
        <v>564</v>
      </c>
      <c r="I26" s="36" t="s">
        <v>577</v>
      </c>
      <c r="J26" s="36" t="s">
        <v>593</v>
      </c>
      <c r="K26" s="36" t="s">
        <v>608</v>
      </c>
      <c r="L26" s="36" t="s">
        <v>619</v>
      </c>
      <c r="M26" s="36" t="s">
        <v>636</v>
      </c>
      <c r="N26" s="36" t="s">
        <v>653</v>
      </c>
    </row>
    <row r="27" spans="1:14" ht="28.8">
      <c r="A27" s="29"/>
      <c r="B27" s="36"/>
      <c r="C27" s="36" t="s">
        <v>510</v>
      </c>
      <c r="D27" s="36"/>
      <c r="E27" s="36" t="s">
        <v>533</v>
      </c>
      <c r="F27" s="36" t="s">
        <v>544</v>
      </c>
      <c r="G27" s="36" t="s">
        <v>555</v>
      </c>
      <c r="H27" s="36" t="s">
        <v>565</v>
      </c>
      <c r="I27" s="36" t="s">
        <v>578</v>
      </c>
      <c r="J27" s="36" t="s">
        <v>594</v>
      </c>
      <c r="K27" s="36" t="s">
        <v>662</v>
      </c>
      <c r="L27" s="36" t="s">
        <v>620</v>
      </c>
      <c r="M27" s="36" t="s">
        <v>637</v>
      </c>
      <c r="N27" s="36"/>
    </row>
    <row r="28" spans="1:14" ht="28.8">
      <c r="A28" s="29"/>
      <c r="B28" s="36"/>
      <c r="C28" s="36" t="s">
        <v>511</v>
      </c>
      <c r="D28" s="36"/>
      <c r="E28" s="36" t="s">
        <v>534</v>
      </c>
      <c r="F28" s="36" t="s">
        <v>533</v>
      </c>
      <c r="G28" s="36" t="s">
        <v>507</v>
      </c>
      <c r="H28" s="36" t="s">
        <v>566</v>
      </c>
      <c r="I28" s="36" t="s">
        <v>579</v>
      </c>
      <c r="J28" s="36" t="s">
        <v>595</v>
      </c>
      <c r="K28" s="36" t="s">
        <v>610</v>
      </c>
      <c r="L28" s="36" t="s">
        <v>621</v>
      </c>
      <c r="M28" s="36" t="s">
        <v>638</v>
      </c>
      <c r="N28" s="36"/>
    </row>
    <row r="29" spans="1:14" ht="28.8">
      <c r="A29" s="29"/>
      <c r="B29" s="36"/>
      <c r="C29" s="36" t="s">
        <v>512</v>
      </c>
      <c r="D29" s="36"/>
      <c r="E29" s="36" t="s">
        <v>535</v>
      </c>
      <c r="F29" s="36" t="s">
        <v>545</v>
      </c>
      <c r="G29" s="36" t="s">
        <v>508</v>
      </c>
      <c r="H29" s="36" t="s">
        <v>567</v>
      </c>
      <c r="I29" s="36" t="s">
        <v>580</v>
      </c>
      <c r="J29" s="36" t="s">
        <v>596</v>
      </c>
      <c r="K29" s="36" t="s">
        <v>611</v>
      </c>
      <c r="L29" s="36" t="s">
        <v>622</v>
      </c>
      <c r="M29" s="36" t="s">
        <v>639</v>
      </c>
      <c r="N29" s="36"/>
    </row>
    <row r="30" spans="1:14" ht="28.8">
      <c r="A30" s="29"/>
      <c r="B30" s="36"/>
      <c r="C30" s="36" t="s">
        <v>513</v>
      </c>
      <c r="D30" s="36"/>
      <c r="E30" s="36" t="s">
        <v>536</v>
      </c>
      <c r="F30" s="36" t="s">
        <v>546</v>
      </c>
      <c r="G30" s="36" t="s">
        <v>509</v>
      </c>
      <c r="H30" s="36" t="s">
        <v>568</v>
      </c>
      <c r="I30" s="36" t="s">
        <v>581</v>
      </c>
      <c r="J30" s="36" t="s">
        <v>597</v>
      </c>
      <c r="K30" s="36" t="s">
        <v>612</v>
      </c>
      <c r="L30" s="36" t="s">
        <v>623</v>
      </c>
      <c r="M30" s="36" t="s">
        <v>640</v>
      </c>
      <c r="N30" s="36"/>
    </row>
    <row r="31" spans="1:14" ht="28.8">
      <c r="A31" s="29"/>
      <c r="B31" s="36"/>
      <c r="C31" s="36" t="s">
        <v>514</v>
      </c>
      <c r="D31" s="36"/>
      <c r="E31" s="36"/>
      <c r="F31" s="36" t="s">
        <v>547</v>
      </c>
      <c r="G31" s="36" t="s">
        <v>510</v>
      </c>
      <c r="H31" s="36" t="s">
        <v>569</v>
      </c>
      <c r="I31" s="36" t="s">
        <v>582</v>
      </c>
      <c r="J31" s="36" t="s">
        <v>598</v>
      </c>
      <c r="K31" s="36"/>
      <c r="L31" s="36" t="s">
        <v>624</v>
      </c>
      <c r="M31" s="36" t="s">
        <v>641</v>
      </c>
      <c r="N31" s="36"/>
    </row>
    <row r="32" spans="1:14" ht="28.8">
      <c r="A32" s="29"/>
      <c r="B32" s="36"/>
      <c r="C32" s="36" t="s">
        <v>515</v>
      </c>
      <c r="D32" s="36"/>
      <c r="E32" s="36"/>
      <c r="F32" s="36" t="s">
        <v>548</v>
      </c>
      <c r="G32" s="36" t="s">
        <v>511</v>
      </c>
      <c r="H32" s="36" t="s">
        <v>570</v>
      </c>
      <c r="I32" s="36" t="s">
        <v>583</v>
      </c>
      <c r="J32" s="36" t="s">
        <v>599</v>
      </c>
      <c r="K32" s="36"/>
      <c r="L32" s="36" t="s">
        <v>625</v>
      </c>
      <c r="M32" s="36" t="s">
        <v>642</v>
      </c>
      <c r="N32" s="36"/>
    </row>
    <row r="33" spans="1:14">
      <c r="A33" s="29"/>
      <c r="B33" s="36"/>
      <c r="C33" s="36" t="s">
        <v>516</v>
      </c>
      <c r="D33" s="36"/>
      <c r="E33" s="36"/>
      <c r="F33" s="36"/>
      <c r="G33" s="36" t="s">
        <v>512</v>
      </c>
      <c r="H33" s="36"/>
      <c r="I33" s="36" t="s">
        <v>584</v>
      </c>
      <c r="J33" s="36" t="s">
        <v>600</v>
      </c>
      <c r="K33" s="36"/>
      <c r="L33" s="36" t="s">
        <v>626</v>
      </c>
      <c r="M33" s="36" t="s">
        <v>643</v>
      </c>
      <c r="N33" s="36"/>
    </row>
    <row r="34" spans="1:14">
      <c r="A34" s="29"/>
      <c r="B34" s="36"/>
      <c r="C34" s="36" t="s">
        <v>517</v>
      </c>
      <c r="D34" s="36"/>
      <c r="E34" s="36"/>
      <c r="F34" s="36"/>
      <c r="G34" s="36" t="s">
        <v>514</v>
      </c>
      <c r="H34" s="36"/>
      <c r="I34" s="36" t="s">
        <v>585</v>
      </c>
      <c r="J34" s="36" t="s">
        <v>601</v>
      </c>
      <c r="K34" s="36"/>
      <c r="L34" s="36" t="s">
        <v>627</v>
      </c>
      <c r="M34" s="36" t="s">
        <v>644</v>
      </c>
      <c r="N34" s="36"/>
    </row>
    <row r="35" spans="1:14" ht="28.8">
      <c r="A35" s="29"/>
      <c r="B35" s="36"/>
      <c r="C35" s="36" t="s">
        <v>518</v>
      </c>
      <c r="D35" s="36"/>
      <c r="E35" s="36"/>
      <c r="F35" s="36"/>
      <c r="G35" s="36" t="s">
        <v>515</v>
      </c>
      <c r="H35" s="36"/>
      <c r="I35" s="36" t="s">
        <v>586</v>
      </c>
      <c r="J35" s="36" t="s">
        <v>602</v>
      </c>
      <c r="K35" s="36"/>
      <c r="L35" s="36" t="s">
        <v>628</v>
      </c>
      <c r="M35" s="36" t="s">
        <v>645</v>
      </c>
      <c r="N35" s="36"/>
    </row>
    <row r="36" spans="1:14" ht="28.8">
      <c r="A36" s="29"/>
      <c r="B36" s="36"/>
      <c r="C36" s="36" t="s">
        <v>519</v>
      </c>
      <c r="D36" s="36"/>
      <c r="E36" s="36"/>
      <c r="F36" s="36"/>
      <c r="G36" s="36" t="s">
        <v>517</v>
      </c>
      <c r="H36" s="36"/>
      <c r="I36" s="36"/>
      <c r="J36" s="39" t="s">
        <v>663</v>
      </c>
      <c r="K36" s="36"/>
      <c r="L36" s="36" t="s">
        <v>629</v>
      </c>
      <c r="M36" s="36" t="s">
        <v>646</v>
      </c>
      <c r="N36" s="36"/>
    </row>
    <row r="37" spans="1:14" ht="43.2">
      <c r="A37" s="29"/>
      <c r="B37" s="36"/>
      <c r="C37" s="36" t="s">
        <v>498</v>
      </c>
      <c r="D37" s="36"/>
      <c r="E37" s="36"/>
      <c r="F37" s="36"/>
      <c r="G37" s="36" t="s">
        <v>556</v>
      </c>
      <c r="H37" s="36"/>
      <c r="I37" s="36"/>
      <c r="J37" s="39" t="s">
        <v>664</v>
      </c>
      <c r="K37" s="36"/>
      <c r="L37" s="36" t="s">
        <v>630</v>
      </c>
      <c r="M37" s="36"/>
      <c r="N37" s="36"/>
    </row>
    <row r="38" spans="1:14">
      <c r="A38" s="29"/>
      <c r="B38" s="36"/>
      <c r="C38" s="36" t="s">
        <v>520</v>
      </c>
      <c r="D38" s="36"/>
      <c r="E38" s="36"/>
      <c r="F38" s="36"/>
      <c r="G38" s="36" t="s">
        <v>498</v>
      </c>
      <c r="H38" s="36"/>
      <c r="I38" s="36"/>
      <c r="J38" s="36"/>
      <c r="K38" s="36"/>
      <c r="L38" s="36"/>
      <c r="M38" s="36"/>
      <c r="N38" s="36"/>
    </row>
    <row r="39" spans="1:14">
      <c r="A39" s="29"/>
      <c r="B39" s="36"/>
      <c r="C39" s="36"/>
      <c r="D39" s="36"/>
      <c r="E39" s="36"/>
      <c r="F39" s="36"/>
      <c r="G39" s="36" t="s">
        <v>557</v>
      </c>
      <c r="H39" s="36"/>
      <c r="I39" s="36"/>
      <c r="J39" s="36"/>
      <c r="K39" s="36"/>
      <c r="L39" s="36"/>
      <c r="M39" s="36"/>
      <c r="N39" s="36"/>
    </row>
  </sheetData>
  <mergeCells count="4">
    <mergeCell ref="B17:D17"/>
    <mergeCell ref="E17:H17"/>
    <mergeCell ref="I17:L17"/>
    <mergeCell ref="M17:N1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frameworks_categorised</vt:lpstr>
      <vt:lpstr>Sheet3</vt:lpstr>
      <vt:lpstr>years</vt:lpstr>
      <vt:lpstr>AE Indicators</vt:lpstr>
      <vt:lpstr>Sheet2</vt:lpstr>
      <vt:lpstr>Sheet1</vt:lpstr>
      <vt:lpstr>Indicator list</vt:lpstr>
      <vt:lpstr>Indicator scale</vt:lpstr>
      <vt:lpstr>Soil Health indicators</vt:lpstr>
      <vt:lpstr>indicator validation</vt:lpstr>
      <vt:lpstr>soil health</vt:lpstr>
      <vt:lpstr>authors</vt:lpstr>
      <vt:lpstr>Tabulated indicators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CHIMONYO, Vimbayi Grace Petrova (CIMMYT-Zimbabwe)</dc:creator>
  <cp:keywords/>
  <dc:description/>
  <cp:lastModifiedBy>MPONELA, Powell (CIMMYT-Nepal)</cp:lastModifiedBy>
  <cp:revision/>
  <dcterms:created xsi:type="dcterms:W3CDTF">2024-09-19T08:31:38Z</dcterms:created>
  <dcterms:modified xsi:type="dcterms:W3CDTF">2026-02-24T18:29:06Z</dcterms:modified>
  <cp:category/>
  <cp:contentStatus/>
</cp:coreProperties>
</file>