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p_mponela_cgiar_org/Documents/CIMMYT/SOIL HEALTH WRITESHOP MALAWI 17-20 September/Reading Materials/50integrate/"/>
    </mc:Choice>
  </mc:AlternateContent>
  <xr:revisionPtr revIDLastSave="59" documentId="8_{E7E9FD5B-3E34-4D55-B37B-AE930870D031}" xr6:coauthVersionLast="47" xr6:coauthVersionMax="47" xr10:uidLastSave="{73C75210-72DF-4114-B600-CC5F8FDDC6CD}"/>
  <bookViews>
    <workbookView minimized="1" xWindow="-28800" yWindow="90" windowWidth="14610" windowHeight="15060" xr2:uid="{71093082-F108-4370-BC15-12E32633EC89}"/>
  </bookViews>
  <sheets>
    <sheet name="auth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C53" i="1" a="1"/>
  <c r="C53" i="1" s="1"/>
  <c r="E60" i="1"/>
  <c r="C60" i="1" a="1"/>
  <c r="C60" i="1" s="1"/>
  <c r="C42" i="1" a="1"/>
  <c r="C42" i="1" s="1"/>
  <c r="D42" i="1" s="1"/>
  <c r="E42" i="1" s="1"/>
  <c r="C63" i="1" a="1"/>
  <c r="E63" i="1" s="1"/>
  <c r="C31" i="1" a="1"/>
  <c r="E31" i="1" s="1"/>
  <c r="E49" i="1"/>
  <c r="C57" i="1" a="1"/>
  <c r="E57" i="1" s="1"/>
  <c r="E25" i="1"/>
  <c r="C25" i="1" a="1"/>
  <c r="C25" i="1" s="1"/>
  <c r="C65" i="1" a="1"/>
  <c r="E65" i="1" s="1"/>
  <c r="E4" i="1"/>
  <c r="C4" i="1" a="1"/>
  <c r="C4" i="1" s="1"/>
  <c r="C9" i="1" a="1"/>
  <c r="E9" i="1" s="1"/>
  <c r="E33" i="1"/>
  <c r="C46" i="1" a="1"/>
  <c r="E46" i="1" s="1"/>
  <c r="E53" i="1"/>
  <c r="C12" i="1" a="1"/>
  <c r="C12" i="1" s="1"/>
  <c r="C18" i="1" a="1"/>
  <c r="E18" i="1" s="1"/>
  <c r="C5" i="1" a="1"/>
  <c r="E5" i="1" s="1"/>
  <c r="E41" i="1"/>
  <c r="C41" i="1" a="1"/>
  <c r="C41" i="1" s="1"/>
  <c r="C20" i="1" a="1"/>
  <c r="C20" i="1" s="1"/>
  <c r="C21" i="1" a="1"/>
  <c r="E21" i="1" s="1"/>
  <c r="C39" i="1" a="1"/>
  <c r="E39" i="1" s="1"/>
  <c r="C32" i="1" a="1"/>
  <c r="C32" i="1" s="1"/>
  <c r="C62" i="1" a="1"/>
  <c r="E62" i="1" s="1"/>
  <c r="C7" i="1" a="1"/>
  <c r="E7" i="1" s="1"/>
  <c r="C45" i="1" a="1"/>
  <c r="E45" i="1" s="1"/>
  <c r="C23" i="1" a="1"/>
  <c r="E23" i="1" s="1"/>
  <c r="C50" i="1" a="1"/>
  <c r="C50" i="1" s="1"/>
  <c r="C27" i="1" a="1"/>
  <c r="E27" i="1" s="1"/>
  <c r="E43" i="1"/>
  <c r="C43" i="1" a="1"/>
  <c r="C43" i="1" s="1"/>
  <c r="C16" i="1" a="1"/>
  <c r="E16" i="1" s="1"/>
  <c r="E40" i="1"/>
  <c r="C40" i="1" a="1"/>
  <c r="C40" i="1" s="1"/>
  <c r="C19" i="1" a="1"/>
  <c r="E19" i="1" s="1"/>
  <c r="C44" i="1" a="1"/>
  <c r="C44" i="1" s="1"/>
  <c r="C51" i="1" a="1"/>
  <c r="E51" i="1" s="1"/>
  <c r="C36" i="1" a="1"/>
  <c r="C36" i="1" s="1"/>
  <c r="E3" i="1"/>
  <c r="C61" i="1" a="1"/>
  <c r="E61" i="1" s="1"/>
  <c r="E2" i="1"/>
  <c r="C59" i="1" a="1"/>
  <c r="E59" i="1" s="1"/>
  <c r="C48" i="1" a="1"/>
  <c r="E48" i="1" s="1"/>
  <c r="C54" i="1" a="1"/>
  <c r="C54" i="1" s="1"/>
  <c r="D35" i="1"/>
  <c r="E35" i="1" s="1"/>
  <c r="C35" i="1" a="1"/>
  <c r="C35" i="1" s="1"/>
  <c r="D47" i="1"/>
  <c r="E47" i="1" s="1"/>
  <c r="C47" i="1" a="1"/>
  <c r="C47" i="1" s="1"/>
  <c r="E11" i="1"/>
  <c r="C11" i="1" a="1"/>
  <c r="C11" i="1" s="1"/>
  <c r="E28" i="1"/>
  <c r="C28" i="1" a="1"/>
  <c r="C28" i="1" s="1"/>
  <c r="C24" i="1" a="1"/>
  <c r="E24" i="1" s="1"/>
  <c r="C55" i="1" a="1"/>
  <c r="E55" i="1" s="1"/>
  <c r="E10" i="1"/>
  <c r="C37" i="1" a="1"/>
  <c r="C37" i="1" s="1"/>
  <c r="C58" i="1" a="1"/>
  <c r="E58" i="1" s="1"/>
  <c r="E29" i="1"/>
  <c r="C29" i="1" a="1"/>
  <c r="C29" i="1" s="1"/>
  <c r="C52" i="1" a="1"/>
  <c r="E52" i="1" s="1"/>
  <c r="C14" i="1" a="1"/>
  <c r="E14" i="1" s="1"/>
  <c r="C8" i="1" a="1"/>
  <c r="C8" i="1" s="1"/>
  <c r="C56" i="1" a="1"/>
  <c r="E56" i="1" s="1"/>
  <c r="C34" i="1" a="1"/>
  <c r="C34" i="1" s="1"/>
  <c r="C26" i="1" a="1"/>
  <c r="E26" i="1" s="1"/>
  <c r="C6" i="1" a="1"/>
  <c r="C6" i="1" s="1"/>
  <c r="C30" i="1" a="1"/>
  <c r="E30" i="1" s="1"/>
  <c r="C13" i="1" a="1"/>
  <c r="C13" i="1" s="1"/>
  <c r="C22" i="1" a="1"/>
  <c r="E22" i="1" s="1"/>
  <c r="C64" i="1" a="1"/>
  <c r="E64" i="1" s="1"/>
  <c r="C17" i="1" a="1"/>
  <c r="C17" i="1" s="1"/>
  <c r="C15" i="1" a="1"/>
  <c r="E15" i="1" s="1"/>
  <c r="C38" i="1" a="1"/>
  <c r="E38" i="1" s="1"/>
  <c r="C18" i="1" l="1"/>
  <c r="C24" i="1"/>
  <c r="E13" i="1"/>
  <c r="C62" i="1"/>
  <c r="C7" i="1"/>
  <c r="C57" i="1"/>
  <c r="E6" i="1"/>
  <c r="C27" i="1"/>
  <c r="C26" i="1"/>
  <c r="C15" i="1"/>
  <c r="E36" i="1"/>
  <c r="C21" i="1"/>
  <c r="C51" i="1"/>
  <c r="E50" i="1"/>
  <c r="E34" i="1"/>
  <c r="C23" i="1"/>
  <c r="C63" i="1"/>
  <c r="C56" i="1"/>
  <c r="C64" i="1"/>
  <c r="E54" i="1"/>
  <c r="E44" i="1"/>
  <c r="C55" i="1"/>
  <c r="C45" i="1"/>
  <c r="C48" i="1"/>
  <c r="C19" i="1"/>
  <c r="C22" i="1"/>
  <c r="E8" i="1"/>
  <c r="C5" i="1"/>
  <c r="C52" i="1"/>
  <c r="C16" i="1"/>
  <c r="C30" i="1"/>
  <c r="E12" i="1"/>
  <c r="C61" i="1"/>
  <c r="E32" i="1"/>
  <c r="C38" i="1"/>
  <c r="C46" i="1"/>
  <c r="E17" i="1"/>
  <c r="E20" i="1"/>
  <c r="C9" i="1"/>
  <c r="C59" i="1"/>
  <c r="C65" i="1"/>
  <c r="C39" i="1"/>
  <c r="C58" i="1"/>
  <c r="C31" i="1"/>
  <c r="C1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<sst xmlns="http://schemas.openxmlformats.org/spreadsheetml/2006/main" count="148" uniqueCount="141">
  <si>
    <t>Author</t>
  </si>
  <si>
    <t>Abbreviated</t>
  </si>
  <si>
    <t>split1</t>
  </si>
  <si>
    <t>split2</t>
  </si>
  <si>
    <t>author_abbreviation</t>
  </si>
  <si>
    <t>Moebius-Clune et al. 2017</t>
  </si>
  <si>
    <t>cornell-cash</t>
  </si>
  <si>
    <t>EEA 2023</t>
  </si>
  <si>
    <t>eea-smeitsha</t>
  </si>
  <si>
    <t>Faber et al. 2022</t>
  </si>
  <si>
    <t>ejp-siren</t>
  </si>
  <si>
    <t>Vanlauwe et al. 2023</t>
  </si>
  <si>
    <t>ifdc-fsha</t>
  </si>
  <si>
    <t>FAO-ITPS 2017</t>
  </si>
  <si>
    <t>fao-vgssm</t>
  </si>
  <si>
    <t>Deel et al. 2024</t>
  </si>
  <si>
    <t>deel-semwise</t>
  </si>
  <si>
    <t>IFA 2009</t>
  </si>
  <si>
    <t>ifa-g4rnutstewf</t>
  </si>
  <si>
    <t>Andrews et al. 2004</t>
  </si>
  <si>
    <t>andrews-smaf</t>
  </si>
  <si>
    <t>Ghimire et al. 2023</t>
  </si>
  <si>
    <t>Lehmann et al. 2020</t>
  </si>
  <si>
    <t>lehmann-fpsh</t>
  </si>
  <si>
    <t>Stockdale et al. 2019</t>
  </si>
  <si>
    <t>stockdale-cfmsh</t>
  </si>
  <si>
    <t>Arshad and Martin 2002</t>
  </si>
  <si>
    <t>arshad-sqi</t>
  </si>
  <si>
    <t>Devine et al. 2021</t>
  </si>
  <si>
    <t>devine-rscfish</t>
  </si>
  <si>
    <t>Sanginga and Woomer 2009</t>
  </si>
  <si>
    <t>ciat-isfm</t>
  </si>
  <si>
    <t>Holmgren 2017</t>
  </si>
  <si>
    <t>permaculture</t>
  </si>
  <si>
    <t>Tittonell 2023</t>
  </si>
  <si>
    <t>tittonel-sysageco</t>
  </si>
  <si>
    <t>Millennium Ecosystem Assessment 2005</t>
  </si>
  <si>
    <t>mea</t>
  </si>
  <si>
    <t>Commonland et al 2024</t>
  </si>
  <si>
    <t>SKI 2021</t>
  </si>
  <si>
    <t>ski-lstoolkit</t>
  </si>
  <si>
    <t>FAO-OEWG 2022</t>
  </si>
  <si>
    <t>fao-gspaf</t>
  </si>
  <si>
    <t>Haines-Young and Potschin 2018</t>
  </si>
  <si>
    <t>cices</t>
  </si>
  <si>
    <t>Cowie et al. 2018</t>
  </si>
  <si>
    <t>ldn_cf_journal</t>
  </si>
  <si>
    <t>Plieninger et al. 2020</t>
  </si>
  <si>
    <t>la4aa</t>
  </si>
  <si>
    <t>López-Ridaura et al. 2002</t>
  </si>
  <si>
    <t>mesmis</t>
  </si>
  <si>
    <t>Scoones 1998</t>
  </si>
  <si>
    <t>ids-srlf</t>
  </si>
  <si>
    <t>Posthumus et al. 2021</t>
  </si>
  <si>
    <t>posthumus-fsdst</t>
  </si>
  <si>
    <t>Triomphe et al. 2022</t>
  </si>
  <si>
    <t>cgiar-ll</t>
  </si>
  <si>
    <t>1000 Landscapes for 1 Billion People 2022a</t>
  </si>
  <si>
    <t>ilm-practical</t>
  </si>
  <si>
    <t>UNEP-WCMC 2021</t>
  </si>
  <si>
    <t>cbd-nea</t>
  </si>
  <si>
    <t>1000 Landscapes for 1 Billion People 2022b</t>
  </si>
  <si>
    <t>Matson et al. 2024a</t>
  </si>
  <si>
    <t>ejp-shttas</t>
  </si>
  <si>
    <t>SAI Platform 2023</t>
  </si>
  <si>
    <t>sai-raag</t>
  </si>
  <si>
    <t>Nestle 2024</t>
  </si>
  <si>
    <t>nestle-raf</t>
  </si>
  <si>
    <t>FAO 2018</t>
  </si>
  <si>
    <t>fao-agroecology</t>
  </si>
  <si>
    <t>Musumba et al. 2017</t>
  </si>
  <si>
    <t>ftf_gsiaf</t>
  </si>
  <si>
    <t>gsiaf</t>
  </si>
  <si>
    <t>European Commission 2021</t>
  </si>
  <si>
    <t>eu-ss2030</t>
  </si>
  <si>
    <t>Neßhöver et al. 2012</t>
  </si>
  <si>
    <t>teeb</t>
  </si>
  <si>
    <t>Govindakrishnan et al. 2021</t>
  </si>
  <si>
    <t>Ros et al. 2022</t>
  </si>
  <si>
    <t>ros-oshafssm</t>
  </si>
  <si>
    <t>FAO-ITPS 2020</t>
  </si>
  <si>
    <t>fao-passm</t>
  </si>
  <si>
    <t>Nunes et al. 2021</t>
  </si>
  <si>
    <t>nunes-shape</t>
  </si>
  <si>
    <t>Apfelbaum et al. 2019</t>
  </si>
  <si>
    <t>steve-aesshf</t>
  </si>
  <si>
    <t>USDA-NRCS 2021</t>
  </si>
  <si>
    <t>usda-cfshag</t>
  </si>
  <si>
    <t>Jian et al. 2020</t>
  </si>
  <si>
    <t>jian-dgsha</t>
  </si>
  <si>
    <t>Montgomery et al. 2024</t>
  </si>
  <si>
    <t>montg-shohph</t>
  </si>
  <si>
    <t>FAO and INRAE 2020</t>
  </si>
  <si>
    <t>fao-esfsi</t>
  </si>
  <si>
    <t>FAO 2019</t>
  </si>
  <si>
    <t>fao-tape</t>
  </si>
  <si>
    <t>NEPAD 2003</t>
  </si>
  <si>
    <t>caadp</t>
  </si>
  <si>
    <t>Alcamo et al. 2003</t>
  </si>
  <si>
    <t>wri-ehwb</t>
  </si>
  <si>
    <t>FAO 2017a</t>
  </si>
  <si>
    <t>fao-almsfa</t>
  </si>
  <si>
    <t>unccd-ldn</t>
  </si>
  <si>
    <t>Sayer et al. 2013</t>
  </si>
  <si>
    <t>Pinstrup‐Andersen and Hazell 1985</t>
  </si>
  <si>
    <t>ifpri-gr</t>
  </si>
  <si>
    <t>Johnston and Bruulsema 2014</t>
  </si>
  <si>
    <t>4rns-inue</t>
  </si>
  <si>
    <t>Birner and Resnick 2010</t>
  </si>
  <si>
    <t>birner-pepsa</t>
  </si>
  <si>
    <t>AGRF 2020</t>
  </si>
  <si>
    <t>si4af</t>
  </si>
  <si>
    <t>Wezel et al. 2020</t>
  </si>
  <si>
    <t>wezel-tape</t>
  </si>
  <si>
    <t>FS-TIP 2021</t>
  </si>
  <si>
    <t>fsat</t>
  </si>
  <si>
    <t>Thaxton et al. 2017</t>
  </si>
  <si>
    <t>unccd-ilm</t>
  </si>
  <si>
    <t>Rhees et al. 2024</t>
  </si>
  <si>
    <t>mn-shaf</t>
  </si>
  <si>
    <t>iPES 2015</t>
  </si>
  <si>
    <t>ipes-food</t>
  </si>
  <si>
    <t>van der Ploeg 2021</t>
  </si>
  <si>
    <t>ploeg-peae</t>
  </si>
  <si>
    <t>NEPAD 2015</t>
  </si>
  <si>
    <t>caadpresult</t>
  </si>
  <si>
    <t>UNEP 2011</t>
  </si>
  <si>
    <t>cbd</t>
  </si>
  <si>
    <t>sayer-la</t>
  </si>
  <si>
    <t>ilm_tool_guide</t>
  </si>
  <si>
    <t>gwimire-sham4wle</t>
  </si>
  <si>
    <t>4returns</t>
  </si>
  <si>
    <t>common-4returns</t>
  </si>
  <si>
    <t>ldn</t>
  </si>
  <si>
    <t>ilmt</t>
  </si>
  <si>
    <t>ilmp</t>
  </si>
  <si>
    <t>mshaf</t>
  </si>
  <si>
    <t>govind-dus</t>
  </si>
  <si>
    <t>Orr et al. 2017</t>
  </si>
  <si>
    <t>aepe</t>
  </si>
  <si>
    <t>4r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</si>
</sst>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A0A0A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2" fillId="0" borderId="2" xfId="0" applyFont="1" applyBorder="1" applyAlignment="1">
      <alignment horizontal="left" vertical="center" wrapText="1"/>
    </xf>
    <xf numFmtId="0" fontId="3" fillId="2" borderId="0" xfId="0" applyFont="1" applyFill="1"/>
    <xf numFmtId="0" fontId="2" fillId="2" borderId="0" xfId="0" applyFont="1" applyFill="1" applyAlignment="1">
      <alignment horizontal="left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F6D1A-9D81-4CD4-AE10-91CBEA92DC83}">
  <dimension ref="A1:E65"/>
  <sheetViews>
    <sheetView tabSelected="1" workbookViewId="0">
      <selection activeCell="D8" sqref="D8"/>
    </sheetView>
  </sheetViews>
  <sheetFormatPr defaultRowHeight="14.4" x14ac:dyDescent="0.3"/>
  <cols>
    <col min="1" max="1" width="21" customWidth="1"/>
    <col min="2" max="2" width="13.5546875" customWidth="1"/>
    <col min="5" max="5" width="48" bestFit="1" customWidth="1"/>
  </cols>
  <sheetData>
    <row r="1" spans="1:5" ht="15" thickBot="1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30.6" customHeight="1" x14ac:dyDescent="0.3">
      <c r="A2" s="2" t="s">
        <v>57</v>
      </c>
      <c r="B2" s="2" t="s">
        <v>58</v>
      </c>
      <c r="C2" s="3"/>
      <c r="D2" t="s">
        <v>135</v>
      </c>
      <c r="E2" s="3" t="str">
        <f t="shared" ref="E2:E36" si="0">_xlfn.CONCAT(A2, "_", D2)</f>
        <v>1000 Landscapes for 1 Billion People 2022a_ilmp</v>
      </c>
    </row>
    <row r="3" spans="1:5" ht="20.399999999999999" x14ac:dyDescent="0.3">
      <c r="A3" s="2" t="s">
        <v>61</v>
      </c>
      <c r="B3" s="2" t="s">
        <v>129</v>
      </c>
      <c r="C3" s="3"/>
      <c r="D3" t="s">
        <v>134</v>
      </c>
      <c r="E3" s="3" t="str">
        <f t="shared" si="0"/>
        <v>1000 Landscapes for 1 Billion People 2022b_ilmt</v>
      </c>
    </row>
    <row r="4" spans="1:5" x14ac:dyDescent="0.3">
      <c r="A4" s="2" t="s">
        <v>110</v>
      </c>
      <c r="B4" s="2" t="s">
        <v>111</v>
      </c>
      <c r="C4" s="3" t="str" cm="1">
        <f t="array" ref="C4">_xlfn.TEXTSPLIT(B4, "-")</f>
        <v>si4af</v>
      </c>
      <c r="D4" t="s">
        <v>111</v>
      </c>
      <c r="E4" s="3" t="str">
        <f t="shared" si="0"/>
        <v>AGRF 2020_si4af</v>
      </c>
    </row>
    <row r="5" spans="1:5" x14ac:dyDescent="0.3">
      <c r="A5" s="2" t="s">
        <v>98</v>
      </c>
      <c r="B5" s="2" t="s">
        <v>99</v>
      </c>
      <c r="C5" s="3" t="str" cm="1">
        <f t="array" ref="C5:D5">_xlfn.TEXTSPLIT(B5, "-")</f>
        <v>wri</v>
      </c>
      <c r="D5" t="str">
        <v>ehwb</v>
      </c>
      <c r="E5" s="3" t="str">
        <f t="shared" si="0"/>
        <v>Alcamo et al. 2003_ehwb</v>
      </c>
    </row>
    <row r="6" spans="1:5" x14ac:dyDescent="0.3">
      <c r="A6" s="2" t="s">
        <v>19</v>
      </c>
      <c r="B6" s="2" t="s">
        <v>20</v>
      </c>
      <c r="C6" s="3" t="str" cm="1">
        <f t="array" ref="C6:D6">_xlfn.TEXTSPLIT(B6, "-")</f>
        <v>andrews</v>
      </c>
      <c r="D6" t="str">
        <v>smaf</v>
      </c>
      <c r="E6" s="3" t="str">
        <f t="shared" si="0"/>
        <v>Andrews et al. 2004_smaf</v>
      </c>
    </row>
    <row r="7" spans="1:5" x14ac:dyDescent="0.3">
      <c r="A7" s="2" t="s">
        <v>84</v>
      </c>
      <c r="B7" s="2" t="s">
        <v>85</v>
      </c>
      <c r="C7" s="3" t="str" cm="1">
        <f t="array" ref="C7:D7">_xlfn.TEXTSPLIT(B7, "-")</f>
        <v>steve</v>
      </c>
      <c r="D7" t="str">
        <v>aesshf</v>
      </c>
      <c r="E7" s="3" t="str">
        <f t="shared" si="0"/>
        <v>Apfelbaum et al. 2019_aesshf</v>
      </c>
    </row>
    <row r="8" spans="1:5" x14ac:dyDescent="0.3">
      <c r="A8" s="2" t="s">
        <v>26</v>
      </c>
      <c r="B8" s="2" t="s">
        <v>27</v>
      </c>
      <c r="C8" s="3" t="str" cm="1">
        <f t="array" ref="C8:D8">_xlfn.TEXTSPLIT(B8, "-")</f>
        <v>arshad</v>
      </c>
      <c r="D8" t="str">
        <v>sqi</v>
      </c>
      <c r="E8" s="3" t="str">
        <f t="shared" si="0"/>
        <v>Arshad and Martin 2002_sqi</v>
      </c>
    </row>
    <row r="9" spans="1:5" x14ac:dyDescent="0.3">
      <c r="A9" s="2" t="s">
        <v>108</v>
      </c>
      <c r="B9" s="2" t="s">
        <v>109</v>
      </c>
      <c r="C9" s="3" t="str" cm="1">
        <f t="array" ref="C9:D9">_xlfn.TEXTSPLIT(B9, "-")</f>
        <v>birner</v>
      </c>
      <c r="D9" t="str">
        <v>pepsa</v>
      </c>
      <c r="E9" s="3" t="str">
        <f t="shared" si="0"/>
        <v>Birner and Resnick 2010_pepsa</v>
      </c>
    </row>
    <row r="10" spans="1:5" x14ac:dyDescent="0.3">
      <c r="A10" s="2" t="s">
        <v>38</v>
      </c>
      <c r="B10" s="2" t="s">
        <v>132</v>
      </c>
      <c r="C10" s="3"/>
      <c r="D10" t="s">
        <v>131</v>
      </c>
      <c r="E10" s="3" t="str">
        <f t="shared" si="0"/>
        <v>Commonland et al 2024_4returns</v>
      </c>
    </row>
    <row r="11" spans="1:5" x14ac:dyDescent="0.3">
      <c r="A11" s="2" t="s">
        <v>45</v>
      </c>
      <c r="B11" s="2" t="s">
        <v>46</v>
      </c>
      <c r="C11" s="3" t="str" cm="1">
        <f t="array" ref="C11">_xlfn.TEXTSPLIT(B11, "-")</f>
        <v>ldn_cf_journal</v>
      </c>
      <c r="D11" t="s">
        <v>133</v>
      </c>
      <c r="E11" s="3" t="str">
        <f t="shared" si="0"/>
        <v>Cowie et al. 2018_ldn</v>
      </c>
    </row>
    <row r="12" spans="1:5" x14ac:dyDescent="0.3">
      <c r="A12" s="2" t="s">
        <v>138</v>
      </c>
      <c r="B12" s="2" t="s">
        <v>102</v>
      </c>
      <c r="C12" s="3" t="str" cm="1">
        <f t="array" ref="C12:D12">_xlfn.TEXTSPLIT(B12, "-")</f>
        <v>unccd</v>
      </c>
      <c r="D12" t="str">
        <v>ldn</v>
      </c>
      <c r="E12" s="3" t="str">
        <f t="shared" si="0"/>
        <v>Orr et al. 2017_ldn</v>
      </c>
    </row>
    <row r="13" spans="1:5" x14ac:dyDescent="0.3">
      <c r="A13" s="2" t="s">
        <v>15</v>
      </c>
      <c r="B13" s="2" t="s">
        <v>16</v>
      </c>
      <c r="C13" s="3" t="str" cm="1">
        <f t="array" ref="C13:D13">_xlfn.TEXTSPLIT(B13, "-")</f>
        <v>deel</v>
      </c>
      <c r="D13" t="str">
        <v>semwise</v>
      </c>
      <c r="E13" s="3" t="str">
        <f t="shared" si="0"/>
        <v>Deel et al. 2024_semwise</v>
      </c>
    </row>
    <row r="14" spans="1:5" x14ac:dyDescent="0.3">
      <c r="A14" s="2" t="s">
        <v>28</v>
      </c>
      <c r="B14" s="2" t="s">
        <v>29</v>
      </c>
      <c r="C14" s="3" t="str" cm="1">
        <f t="array" ref="C14:D14">_xlfn.TEXTSPLIT(B14, "-")</f>
        <v>devine</v>
      </c>
      <c r="D14" t="str">
        <v>rscfish</v>
      </c>
      <c r="E14" s="3" t="str">
        <f t="shared" si="0"/>
        <v>Devine et al. 2021_rscfish</v>
      </c>
    </row>
    <row r="15" spans="1:5" x14ac:dyDescent="0.3">
      <c r="A15" s="2" t="s">
        <v>7</v>
      </c>
      <c r="B15" s="2" t="s">
        <v>8</v>
      </c>
      <c r="C15" s="3" t="str" cm="1">
        <f t="array" ref="C15:D15">_xlfn.TEXTSPLIT(B15, "-")</f>
        <v>eea</v>
      </c>
      <c r="D15" t="str">
        <v>smeitsha</v>
      </c>
      <c r="E15" s="3" t="str">
        <f t="shared" si="0"/>
        <v>EEA 2023_smeitsha</v>
      </c>
    </row>
    <row r="16" spans="1:5" x14ac:dyDescent="0.3">
      <c r="A16" s="2" t="s">
        <v>73</v>
      </c>
      <c r="B16" s="2" t="s">
        <v>74</v>
      </c>
      <c r="C16" s="3" t="str" cm="1">
        <f t="array" ref="C16:D16">_xlfn.TEXTSPLIT(B16, "-")</f>
        <v>eu</v>
      </c>
      <c r="D16" t="str">
        <v>ss2030</v>
      </c>
      <c r="E16" s="3" t="str">
        <f t="shared" si="0"/>
        <v>European Commission 2021_ss2030</v>
      </c>
    </row>
    <row r="17" spans="1:5" x14ac:dyDescent="0.3">
      <c r="A17" s="2" t="s">
        <v>9</v>
      </c>
      <c r="B17" s="2" t="s">
        <v>10</v>
      </c>
      <c r="C17" s="3" t="str" cm="1">
        <f t="array" ref="C17:D17">_xlfn.TEXTSPLIT(B17, "-")</f>
        <v>ejp</v>
      </c>
      <c r="D17" t="str">
        <v>siren</v>
      </c>
      <c r="E17" s="3" t="str">
        <f t="shared" si="0"/>
        <v>Faber et al. 2022_siren</v>
      </c>
    </row>
    <row r="18" spans="1:5" x14ac:dyDescent="0.3">
      <c r="A18" s="2" t="s">
        <v>100</v>
      </c>
      <c r="B18" s="2" t="s">
        <v>101</v>
      </c>
      <c r="C18" s="3" t="str" cm="1">
        <f t="array" ref="C18:D18">_xlfn.TEXTSPLIT(B18, "-")</f>
        <v>fao</v>
      </c>
      <c r="D18" t="str">
        <v>almsfa</v>
      </c>
      <c r="E18" s="3" t="str">
        <f t="shared" si="0"/>
        <v>FAO 2017a_almsfa</v>
      </c>
    </row>
    <row r="19" spans="1:5" x14ac:dyDescent="0.3">
      <c r="A19" s="2" t="s">
        <v>68</v>
      </c>
      <c r="B19" s="2" t="s">
        <v>69</v>
      </c>
      <c r="C19" s="3" t="str" cm="1">
        <f t="array" ref="C19:D19">_xlfn.TEXTSPLIT(B19, "-")</f>
        <v>fao</v>
      </c>
      <c r="D19" t="str">
        <v>agroecology</v>
      </c>
      <c r="E19" s="3" t="str">
        <f t="shared" si="0"/>
        <v>FAO 2018_agroecology</v>
      </c>
    </row>
    <row r="20" spans="1:5" x14ac:dyDescent="0.3">
      <c r="A20" s="2" t="s">
        <v>94</v>
      </c>
      <c r="B20" s="2" t="s">
        <v>95</v>
      </c>
      <c r="C20" s="3" t="str" cm="1">
        <f t="array" ref="C20:D20">_xlfn.TEXTSPLIT(B20, "-")</f>
        <v>fao</v>
      </c>
      <c r="D20" t="str">
        <v>tape</v>
      </c>
      <c r="E20" s="3" t="str">
        <f t="shared" si="0"/>
        <v>FAO 2019_tape</v>
      </c>
    </row>
    <row r="21" spans="1:5" x14ac:dyDescent="0.3">
      <c r="A21" s="2" t="s">
        <v>92</v>
      </c>
      <c r="B21" s="2" t="s">
        <v>93</v>
      </c>
      <c r="C21" s="3" t="str" cm="1">
        <f t="array" ref="C21:D21">_xlfn.TEXTSPLIT(B21, "-")</f>
        <v>fao</v>
      </c>
      <c r="D21" t="str">
        <v>esfsi</v>
      </c>
      <c r="E21" s="3" t="str">
        <f t="shared" si="0"/>
        <v>FAO and INRAE 2020_esfsi</v>
      </c>
    </row>
    <row r="22" spans="1:5" x14ac:dyDescent="0.3">
      <c r="A22" s="2" t="s">
        <v>13</v>
      </c>
      <c r="B22" s="2" t="s">
        <v>14</v>
      </c>
      <c r="C22" s="3" t="str" cm="1">
        <f t="array" ref="C22:D22">_xlfn.TEXTSPLIT(B22, "-")</f>
        <v>fao</v>
      </c>
      <c r="D22" t="str">
        <v>vgssm</v>
      </c>
      <c r="E22" s="3" t="str">
        <f t="shared" si="0"/>
        <v>FAO-ITPS 2017_vgssm</v>
      </c>
    </row>
    <row r="23" spans="1:5" x14ac:dyDescent="0.3">
      <c r="A23" s="2" t="s">
        <v>80</v>
      </c>
      <c r="B23" s="2" t="s">
        <v>81</v>
      </c>
      <c r="C23" s="3" t="str" cm="1">
        <f t="array" ref="C23:D23">_xlfn.TEXTSPLIT(B23, "-")</f>
        <v>fao</v>
      </c>
      <c r="D23" t="str">
        <v>passm</v>
      </c>
      <c r="E23" s="3" t="str">
        <f t="shared" si="0"/>
        <v>FAO-ITPS 2020_passm</v>
      </c>
    </row>
    <row r="24" spans="1:5" x14ac:dyDescent="0.3">
      <c r="A24" s="2" t="s">
        <v>41</v>
      </c>
      <c r="B24" s="2" t="s">
        <v>42</v>
      </c>
      <c r="C24" s="3" t="str" cm="1">
        <f t="array" ref="C24:D24">_xlfn.TEXTSPLIT(B24, "-")</f>
        <v>fao</v>
      </c>
      <c r="D24" t="str">
        <v>gspaf</v>
      </c>
      <c r="E24" s="3" t="str">
        <f t="shared" si="0"/>
        <v>FAO-OEWG 2022_gspaf</v>
      </c>
    </row>
    <row r="25" spans="1:5" x14ac:dyDescent="0.3">
      <c r="A25" s="2" t="s">
        <v>114</v>
      </c>
      <c r="B25" s="2" t="s">
        <v>115</v>
      </c>
      <c r="C25" s="3" t="str" cm="1">
        <f t="array" ref="C25">_xlfn.TEXTSPLIT(B25, "-")</f>
        <v>fsat</v>
      </c>
      <c r="D25" t="s">
        <v>115</v>
      </c>
      <c r="E25" s="3" t="str">
        <f t="shared" si="0"/>
        <v>FS-TIP 2021_fsat</v>
      </c>
    </row>
    <row r="26" spans="1:5" x14ac:dyDescent="0.3">
      <c r="A26" s="2" t="s">
        <v>21</v>
      </c>
      <c r="B26" s="2" t="s">
        <v>130</v>
      </c>
      <c r="C26" s="3" t="str" cm="1">
        <f t="array" ref="C26:D26">_xlfn.TEXTSPLIT(B26, "-")</f>
        <v>gwimire</v>
      </c>
      <c r="D26" t="str">
        <v>sham4wle</v>
      </c>
      <c r="E26" s="3" t="str">
        <f t="shared" si="0"/>
        <v>Ghimire et al. 2023_sham4wle</v>
      </c>
    </row>
    <row r="27" spans="1:5" x14ac:dyDescent="0.3">
      <c r="A27" s="2" t="s">
        <v>77</v>
      </c>
      <c r="B27" s="2" t="s">
        <v>137</v>
      </c>
      <c r="C27" s="3" t="str" cm="1">
        <f t="array" ref="C27:D27">_xlfn.TEXTSPLIT(B27, "-")</f>
        <v>govind</v>
      </c>
      <c r="D27" t="str">
        <v>dus</v>
      </c>
      <c r="E27" s="3" t="str">
        <f t="shared" si="0"/>
        <v>Govindakrishnan et al. 2021_dus</v>
      </c>
    </row>
    <row r="28" spans="1:5" ht="20.399999999999999" x14ac:dyDescent="0.3">
      <c r="A28" s="2" t="s">
        <v>43</v>
      </c>
      <c r="B28" s="2" t="s">
        <v>44</v>
      </c>
      <c r="C28" s="3" t="str" cm="1">
        <f t="array" ref="C28">_xlfn.TEXTSPLIT(B28, "-")</f>
        <v>cices</v>
      </c>
      <c r="D28" t="s">
        <v>44</v>
      </c>
      <c r="E28" s="3" t="str">
        <f t="shared" si="0"/>
        <v>Haines-Young and Potschin 2018_cices</v>
      </c>
    </row>
    <row r="29" spans="1:5" x14ac:dyDescent="0.3">
      <c r="A29" s="2" t="s">
        <v>32</v>
      </c>
      <c r="B29" s="2" t="s">
        <v>33</v>
      </c>
      <c r="C29" s="3" t="str" cm="1">
        <f t="array" ref="C29">_xlfn.TEXTSPLIT(B29, "-")</f>
        <v>permaculture</v>
      </c>
      <c r="D29" t="s">
        <v>33</v>
      </c>
      <c r="E29" s="3" t="str">
        <f t="shared" si="0"/>
        <v>Holmgren 2017_permaculture</v>
      </c>
    </row>
    <row r="30" spans="1:5" x14ac:dyDescent="0.3">
      <c r="A30" s="2" t="s">
        <v>17</v>
      </c>
      <c r="B30" s="2" t="s">
        <v>18</v>
      </c>
      <c r="C30" s="3" t="str" cm="1">
        <f t="array" ref="C30:D30">_xlfn.TEXTSPLIT(B30, "-")</f>
        <v>ifa</v>
      </c>
      <c r="D30" t="str">
        <v>g4rnutstewf</v>
      </c>
      <c r="E30" s="3" t="str">
        <f t="shared" si="0"/>
        <v>IFA 2009_g4rnutstewf</v>
      </c>
    </row>
    <row r="31" spans="1:5" x14ac:dyDescent="0.3">
      <c r="A31" s="2" t="s">
        <v>120</v>
      </c>
      <c r="B31" s="2" t="s">
        <v>121</v>
      </c>
      <c r="C31" s="3" t="str" cm="1">
        <f t="array" ref="C31:D31">_xlfn.TEXTSPLIT(B31, "-")</f>
        <v>ipes</v>
      </c>
      <c r="D31" t="str">
        <v>food</v>
      </c>
      <c r="E31" s="3" t="str">
        <f t="shared" si="0"/>
        <v>iPES 2015_food</v>
      </c>
    </row>
    <row r="32" spans="1:5" x14ac:dyDescent="0.3">
      <c r="A32" s="2" t="s">
        <v>88</v>
      </c>
      <c r="B32" s="2" t="s">
        <v>89</v>
      </c>
      <c r="C32" s="3" t="str" cm="1">
        <f t="array" ref="C32:D32">_xlfn.TEXTSPLIT(B32, "-")</f>
        <v>jian</v>
      </c>
      <c r="D32" t="str">
        <v>dgsha</v>
      </c>
      <c r="E32" s="3" t="str">
        <f t="shared" si="0"/>
        <v>Jian et al. 2020_dgsha</v>
      </c>
    </row>
    <row r="33" spans="1:5" ht="15" thickBot="1" x14ac:dyDescent="0.35">
      <c r="A33" s="4" t="s">
        <v>106</v>
      </c>
      <c r="B33" s="4" t="s">
        <v>107</v>
      </c>
      <c r="C33" s="3"/>
      <c r="D33" t="s">
        <v>140</v>
      </c>
      <c r="E33" s="3" t="str">
        <f t="shared" si="0"/>
        <v>Johnston and Bruulsema 2014_4r</v>
      </c>
    </row>
    <row r="34" spans="1:5" x14ac:dyDescent="0.3">
      <c r="A34" s="2" t="s">
        <v>22</v>
      </c>
      <c r="B34" s="2" t="s">
        <v>23</v>
      </c>
      <c r="C34" s="3" t="str" cm="1">
        <f t="array" ref="C34:D34">_xlfn.TEXTSPLIT(B34, "-")</f>
        <v>lehmann</v>
      </c>
      <c r="D34" t="str">
        <v>fpsh</v>
      </c>
      <c r="E34" s="3" t="str">
        <f t="shared" si="0"/>
        <v>Lehmann et al. 2020_fpsh</v>
      </c>
    </row>
    <row r="35" spans="1:5" x14ac:dyDescent="0.3">
      <c r="A35" s="2" t="s">
        <v>49</v>
      </c>
      <c r="B35" s="2" t="s">
        <v>50</v>
      </c>
      <c r="C35" s="3" t="str" cm="1">
        <f t="array" ref="C35">_xlfn.TEXTSPLIT(B35, "-")</f>
        <v>mesmis</v>
      </c>
      <c r="D35" t="str">
        <f>B35</f>
        <v>mesmis</v>
      </c>
      <c r="E35" s="3" t="str">
        <f t="shared" si="0"/>
        <v>López-Ridaura et al. 2002_mesmis</v>
      </c>
    </row>
    <row r="36" spans="1:5" x14ac:dyDescent="0.3">
      <c r="A36" s="2" t="s">
        <v>62</v>
      </c>
      <c r="B36" s="2" t="s">
        <v>63</v>
      </c>
      <c r="C36" s="3" t="str" cm="1">
        <f t="array" ref="C36:D36">_xlfn.TEXTSPLIT(B36, "-")</f>
        <v>ejp</v>
      </c>
      <c r="D36" t="str">
        <v>shttas</v>
      </c>
      <c r="E36" s="3" t="str">
        <f t="shared" si="0"/>
        <v>Matson et al. 2024a_shttas</v>
      </c>
    </row>
    <row r="37" spans="1:5" ht="20.399999999999999" x14ac:dyDescent="0.3">
      <c r="A37" s="2" t="s">
        <v>36</v>
      </c>
      <c r="B37" s="2" t="s">
        <v>37</v>
      </c>
      <c r="C37" s="3" t="str" cm="1">
        <f t="array" ref="C37">_xlfn.TEXTSPLIT(B37, "-")</f>
        <v>mea</v>
      </c>
      <c r="E37" s="3" t="str">
        <f>A37</f>
        <v>Millennium Ecosystem Assessment 2005</v>
      </c>
    </row>
    <row r="38" spans="1:5" x14ac:dyDescent="0.3">
      <c r="A38" s="2" t="s">
        <v>5</v>
      </c>
      <c r="B38" s="2" t="s">
        <v>6</v>
      </c>
      <c r="C38" s="3" t="str" cm="1">
        <f t="array" ref="C38:D38">_xlfn.TEXTSPLIT(B38, "-")</f>
        <v>cornell</v>
      </c>
      <c r="D38" t="str">
        <v>cash</v>
      </c>
      <c r="E38" s="3" t="str">
        <f t="shared" ref="E38:E65" si="1">_xlfn.CONCAT(A38, "_", D38)</f>
        <v>Moebius-Clune et al. 2017_cash</v>
      </c>
    </row>
    <row r="39" spans="1:5" x14ac:dyDescent="0.3">
      <c r="A39" s="2" t="s">
        <v>90</v>
      </c>
      <c r="B39" s="2" t="s">
        <v>91</v>
      </c>
      <c r="C39" s="3" t="str" cm="1">
        <f t="array" ref="C39:D39">_xlfn.TEXTSPLIT(B39, "-")</f>
        <v>montg</v>
      </c>
      <c r="D39" t="str">
        <v>shohph</v>
      </c>
      <c r="E39" s="3" t="str">
        <f t="shared" si="1"/>
        <v>Montgomery et al. 2024_shohph</v>
      </c>
    </row>
    <row r="40" spans="1:5" x14ac:dyDescent="0.3">
      <c r="A40" s="2" t="s">
        <v>70</v>
      </c>
      <c r="B40" s="2" t="s">
        <v>71</v>
      </c>
      <c r="C40" s="3" t="str" cm="1">
        <f t="array" ref="C40">_xlfn.TEXTSPLIT(B40, "-")</f>
        <v>ftf_gsiaf</v>
      </c>
      <c r="D40" t="s">
        <v>72</v>
      </c>
      <c r="E40" s="3" t="str">
        <f t="shared" si="1"/>
        <v>Musumba et al. 2017_gsiaf</v>
      </c>
    </row>
    <row r="41" spans="1:5" x14ac:dyDescent="0.3">
      <c r="A41" s="2" t="s">
        <v>96</v>
      </c>
      <c r="B41" s="2" t="s">
        <v>97</v>
      </c>
      <c r="C41" s="3" t="str" cm="1">
        <f t="array" ref="C41">_xlfn.TEXTSPLIT(B41, "-")</f>
        <v>caadp</v>
      </c>
      <c r="D41" t="s">
        <v>97</v>
      </c>
      <c r="E41" s="3" t="str">
        <f t="shared" si="1"/>
        <v>NEPAD 2003_caadp</v>
      </c>
    </row>
    <row r="42" spans="1:5" x14ac:dyDescent="0.3">
      <c r="A42" s="2" t="s">
        <v>124</v>
      </c>
      <c r="B42" s="2" t="s">
        <v>125</v>
      </c>
      <c r="C42" s="3" t="str" cm="1">
        <f t="array" ref="C42">_xlfn.TEXTSPLIT(B42, "-")</f>
        <v>caadpresult</v>
      </c>
      <c r="D42" t="str">
        <f>C42</f>
        <v>caadpresult</v>
      </c>
      <c r="E42" s="3" t="str">
        <f t="shared" si="1"/>
        <v>NEPAD 2015_caadpresult</v>
      </c>
    </row>
    <row r="43" spans="1:5" x14ac:dyDescent="0.3">
      <c r="A43" s="2" t="s">
        <v>75</v>
      </c>
      <c r="B43" s="2" t="s">
        <v>76</v>
      </c>
      <c r="C43" s="3" t="str" cm="1">
        <f t="array" ref="C43">_xlfn.TEXTSPLIT(B43, "-")</f>
        <v>teeb</v>
      </c>
      <c r="D43" t="s">
        <v>76</v>
      </c>
      <c r="E43" s="3" t="str">
        <f t="shared" si="1"/>
        <v>Neßhöver et al. 2012_teeb</v>
      </c>
    </row>
    <row r="44" spans="1:5" x14ac:dyDescent="0.3">
      <c r="A44" s="2" t="s">
        <v>66</v>
      </c>
      <c r="B44" s="2" t="s">
        <v>67</v>
      </c>
      <c r="C44" s="3" t="str" cm="1">
        <f t="array" ref="C44:D44">_xlfn.TEXTSPLIT(B44, "-")</f>
        <v>nestle</v>
      </c>
      <c r="D44" t="str">
        <v>raf</v>
      </c>
      <c r="E44" s="3" t="str">
        <f t="shared" si="1"/>
        <v>Nestle 2024_raf</v>
      </c>
    </row>
    <row r="45" spans="1:5" x14ac:dyDescent="0.3">
      <c r="A45" s="2" t="s">
        <v>82</v>
      </c>
      <c r="B45" s="2" t="s">
        <v>83</v>
      </c>
      <c r="C45" s="3" t="str" cm="1">
        <f t="array" ref="C45:D45">_xlfn.TEXTSPLIT(B45, "-")</f>
        <v>nunes</v>
      </c>
      <c r="D45" t="str">
        <v>shape</v>
      </c>
      <c r="E45" s="3" t="str">
        <f t="shared" si="1"/>
        <v>Nunes et al. 2021_shape</v>
      </c>
    </row>
    <row r="46" spans="1:5" ht="20.399999999999999" x14ac:dyDescent="0.3">
      <c r="A46" s="2" t="s">
        <v>104</v>
      </c>
      <c r="B46" s="2" t="s">
        <v>105</v>
      </c>
      <c r="C46" s="3" t="str" cm="1">
        <f t="array" ref="C46:D46">_xlfn.TEXTSPLIT(B46, "-")</f>
        <v>ifpri</v>
      </c>
      <c r="D46" t="str">
        <v>gr</v>
      </c>
      <c r="E46" s="3" t="str">
        <f t="shared" si="1"/>
        <v>Pinstrup‐Andersen and Hazell 1985_gr</v>
      </c>
    </row>
    <row r="47" spans="1:5" x14ac:dyDescent="0.3">
      <c r="A47" s="2" t="s">
        <v>47</v>
      </c>
      <c r="B47" s="2" t="s">
        <v>48</v>
      </c>
      <c r="C47" s="3" t="str" cm="1">
        <f t="array" ref="C47">_xlfn.TEXTSPLIT(B47, "-")</f>
        <v>la4aa</v>
      </c>
      <c r="D47" t="str">
        <f>B47</f>
        <v>la4aa</v>
      </c>
      <c r="E47" s="3" t="str">
        <f t="shared" si="1"/>
        <v>Plieninger et al. 2020_la4aa</v>
      </c>
    </row>
    <row r="48" spans="1:5" x14ac:dyDescent="0.3">
      <c r="A48" s="2" t="s">
        <v>53</v>
      </c>
      <c r="B48" s="2" t="s">
        <v>54</v>
      </c>
      <c r="C48" s="3" t="str" cm="1">
        <f t="array" ref="C48:D48">_xlfn.TEXTSPLIT(B48, "-")</f>
        <v>posthumus</v>
      </c>
      <c r="D48" t="str">
        <v>fsdst</v>
      </c>
      <c r="E48" s="3" t="str">
        <f t="shared" si="1"/>
        <v>Posthumus et al. 2021_fsdst</v>
      </c>
    </row>
    <row r="49" spans="1:5" x14ac:dyDescent="0.3">
      <c r="A49" s="2" t="s">
        <v>118</v>
      </c>
      <c r="B49" s="2" t="s">
        <v>119</v>
      </c>
      <c r="C49" s="3"/>
      <c r="D49" t="s">
        <v>136</v>
      </c>
      <c r="E49" s="3" t="str">
        <f t="shared" si="1"/>
        <v>Rhees et al. 2024_mshaf</v>
      </c>
    </row>
    <row r="50" spans="1:5" x14ac:dyDescent="0.3">
      <c r="A50" s="2" t="s">
        <v>78</v>
      </c>
      <c r="B50" s="2" t="s">
        <v>79</v>
      </c>
      <c r="C50" s="3" t="str" cm="1">
        <f t="array" ref="C50:D50">_xlfn.TEXTSPLIT(B50, "-")</f>
        <v>ros</v>
      </c>
      <c r="D50" t="str">
        <v>oshafssm</v>
      </c>
      <c r="E50" s="3" t="str">
        <f t="shared" si="1"/>
        <v>Ros et al. 2022_oshafssm</v>
      </c>
    </row>
    <row r="51" spans="1:5" x14ac:dyDescent="0.3">
      <c r="A51" s="2" t="s">
        <v>64</v>
      </c>
      <c r="B51" s="2" t="s">
        <v>65</v>
      </c>
      <c r="C51" s="3" t="str" cm="1">
        <f t="array" ref="C51:D51">_xlfn.TEXTSPLIT(B51, "-")</f>
        <v>sai</v>
      </c>
      <c r="D51" t="str">
        <v>raag</v>
      </c>
      <c r="E51" s="3" t="str">
        <f t="shared" si="1"/>
        <v>SAI Platform 2023_raag</v>
      </c>
    </row>
    <row r="52" spans="1:5" x14ac:dyDescent="0.3">
      <c r="A52" s="2" t="s">
        <v>30</v>
      </c>
      <c r="B52" s="2" t="s">
        <v>31</v>
      </c>
      <c r="C52" s="3" t="str" cm="1">
        <f t="array" ref="C52:D52">_xlfn.TEXTSPLIT(B52, "-")</f>
        <v>ciat</v>
      </c>
      <c r="D52" t="str">
        <v>isfm</v>
      </c>
      <c r="E52" s="3" t="str">
        <f t="shared" si="1"/>
        <v>Sanginga and Woomer 2009_isfm</v>
      </c>
    </row>
    <row r="53" spans="1:5" x14ac:dyDescent="0.3">
      <c r="A53" s="2" t="s">
        <v>103</v>
      </c>
      <c r="B53" s="2" t="s">
        <v>128</v>
      </c>
      <c r="C53" s="3" t="str" cm="1">
        <f t="array" ref="C53:D53">_xlfn.TEXTSPLIT(B53, "-")</f>
        <v>sayer</v>
      </c>
      <c r="D53" t="str">
        <v>la</v>
      </c>
      <c r="E53" s="3" t="str">
        <f t="shared" si="1"/>
        <v>Sayer et al. 2013_la</v>
      </c>
    </row>
    <row r="54" spans="1:5" x14ac:dyDescent="0.3">
      <c r="A54" s="2" t="s">
        <v>51</v>
      </c>
      <c r="B54" s="2" t="s">
        <v>52</v>
      </c>
      <c r="C54" s="3" t="str" cm="1">
        <f t="array" ref="C54:D54">_xlfn.TEXTSPLIT(B54, "-")</f>
        <v>ids</v>
      </c>
      <c r="D54" t="str">
        <v>srlf</v>
      </c>
      <c r="E54" s="3" t="str">
        <f t="shared" si="1"/>
        <v>Scoones 1998_srlf</v>
      </c>
    </row>
    <row r="55" spans="1:5" x14ac:dyDescent="0.3">
      <c r="A55" s="2" t="s">
        <v>39</v>
      </c>
      <c r="B55" s="2" t="s">
        <v>40</v>
      </c>
      <c r="C55" s="3" t="str" cm="1">
        <f t="array" ref="C55:D55">_xlfn.TEXTSPLIT(B55, "-")</f>
        <v>ski</v>
      </c>
      <c r="D55" t="str">
        <v>lstoolkit</v>
      </c>
      <c r="E55" s="3" t="str">
        <f t="shared" si="1"/>
        <v>SKI 2021_lstoolkit</v>
      </c>
    </row>
    <row r="56" spans="1:5" x14ac:dyDescent="0.3">
      <c r="A56" s="2" t="s">
        <v>24</v>
      </c>
      <c r="B56" s="2" t="s">
        <v>25</v>
      </c>
      <c r="C56" s="3" t="str" cm="1">
        <f t="array" ref="C56:D56">_xlfn.TEXTSPLIT(B56, "-")</f>
        <v>stockdale</v>
      </c>
      <c r="D56" t="str">
        <v>cfmsh</v>
      </c>
      <c r="E56" s="3" t="str">
        <f t="shared" si="1"/>
        <v>Stockdale et al. 2019_cfmsh</v>
      </c>
    </row>
    <row r="57" spans="1:5" s="7" customFormat="1" x14ac:dyDescent="0.3">
      <c r="A57" s="6" t="s">
        <v>116</v>
      </c>
      <c r="B57" s="6" t="s">
        <v>117</v>
      </c>
      <c r="C57" s="5" t="str" cm="1">
        <f t="array" ref="C57:D57">_xlfn.TEXTSPLIT(B57, "-")</f>
        <v>unccd</v>
      </c>
      <c r="D57" s="7" t="str">
        <v>ilm</v>
      </c>
      <c r="E57" s="5" t="str">
        <f t="shared" si="1"/>
        <v>Thaxton et al. 2017_ilm</v>
      </c>
    </row>
    <row r="58" spans="1:5" x14ac:dyDescent="0.3">
      <c r="A58" s="2" t="s">
        <v>34</v>
      </c>
      <c r="B58" s="2" t="s">
        <v>35</v>
      </c>
      <c r="C58" s="3" t="str" cm="1">
        <f t="array" ref="C58:D58">_xlfn.TEXTSPLIT(B58, "-")</f>
        <v>tittonel</v>
      </c>
      <c r="D58" t="str">
        <v>sysageco</v>
      </c>
      <c r="E58" s="3" t="str">
        <f t="shared" si="1"/>
        <v>Tittonell 2023_sysageco</v>
      </c>
    </row>
    <row r="59" spans="1:5" x14ac:dyDescent="0.3">
      <c r="A59" s="2" t="s">
        <v>55</v>
      </c>
      <c r="B59" s="2" t="s">
        <v>56</v>
      </c>
      <c r="C59" s="3" t="str" cm="1">
        <f t="array" ref="C59:D59">_xlfn.TEXTSPLIT(B59, "-")</f>
        <v>cgiar</v>
      </c>
      <c r="D59" t="str">
        <v>ll</v>
      </c>
      <c r="E59" s="3" t="str">
        <f t="shared" si="1"/>
        <v>Triomphe et al. 2022_ll</v>
      </c>
    </row>
    <row r="60" spans="1:5" x14ac:dyDescent="0.3">
      <c r="A60" s="2" t="s">
        <v>126</v>
      </c>
      <c r="B60" s="2" t="s">
        <v>127</v>
      </c>
      <c r="C60" s="3" t="str" cm="1">
        <f t="array" ref="C60">_xlfn.TEXTSPLIT(B60, "-")</f>
        <v>cbd</v>
      </c>
      <c r="D60" t="s">
        <v>127</v>
      </c>
      <c r="E60" s="3" t="str">
        <f t="shared" si="1"/>
        <v>UNEP 2011_cbd</v>
      </c>
    </row>
    <row r="61" spans="1:5" x14ac:dyDescent="0.3">
      <c r="A61" s="2" t="s">
        <v>59</v>
      </c>
      <c r="B61" s="2" t="s">
        <v>60</v>
      </c>
      <c r="C61" s="3" t="str" cm="1">
        <f t="array" ref="C61:D61">_xlfn.TEXTSPLIT(B61, "-")</f>
        <v>cbd</v>
      </c>
      <c r="D61" t="str">
        <v>nea</v>
      </c>
      <c r="E61" s="3" t="str">
        <f t="shared" si="1"/>
        <v>UNEP-WCMC 2021_nea</v>
      </c>
    </row>
    <row r="62" spans="1:5" x14ac:dyDescent="0.3">
      <c r="A62" s="2" t="s">
        <v>86</v>
      </c>
      <c r="B62" s="2" t="s">
        <v>87</v>
      </c>
      <c r="C62" s="3" t="str" cm="1">
        <f t="array" ref="C62:D62">_xlfn.TEXTSPLIT(B62, "-")</f>
        <v>usda</v>
      </c>
      <c r="D62" t="str">
        <v>cfshag</v>
      </c>
      <c r="E62" s="3" t="str">
        <f t="shared" si="1"/>
        <v>USDA-NRCS 2021_cfshag</v>
      </c>
    </row>
    <row r="63" spans="1:5" s="7" customFormat="1" x14ac:dyDescent="0.3">
      <c r="A63" s="6" t="s">
        <v>122</v>
      </c>
      <c r="B63" s="6" t="s">
        <v>123</v>
      </c>
      <c r="C63" s="5" t="str" cm="1">
        <f t="array" ref="C63:D63">_xlfn.TEXTSPLIT(B63, "-")</f>
        <v>ploeg</v>
      </c>
      <c r="D63" s="7" t="str">
        <v>peae</v>
      </c>
      <c r="E63" s="5" t="str">
        <f t="shared" si="1"/>
        <v>van der Ploeg 2021_peae</v>
      </c>
    </row>
    <row r="64" spans="1:5" x14ac:dyDescent="0.3">
      <c r="A64" s="2" t="s">
        <v>11</v>
      </c>
      <c r="B64" s="2" t="s">
        <v>12</v>
      </c>
      <c r="C64" s="3" t="str" cm="1">
        <f t="array" ref="C64:D64">_xlfn.TEXTSPLIT(B64, "-")</f>
        <v>ifdc</v>
      </c>
      <c r="D64" t="str">
        <v>fsha</v>
      </c>
      <c r="E64" s="3" t="str">
        <f t="shared" si="1"/>
        <v>Vanlauwe et al. 2023_fsha</v>
      </c>
    </row>
    <row r="65" spans="1:5" ht="15" thickBot="1" x14ac:dyDescent="0.35">
      <c r="A65" s="4" t="s">
        <v>112</v>
      </c>
      <c r="B65" s="4" t="s">
        <v>113</v>
      </c>
      <c r="C65" s="3" t="e" cm="1" vm="1">
        <f t="array" aca="1" ref="C65" ca="1">_xlfn.TEXTSPLIT(B65, "-")</f>
        <v>#VALUE!</v>
      </c>
      <c r="D65" t="s">
        <v>139</v>
      </c>
      <c r="E65" s="3" t="str">
        <f t="shared" si="1"/>
        <v>Wezel et al. 2020_aepe</v>
      </c>
    </row>
  </sheetData>
  <sortState xmlns:xlrd2="http://schemas.microsoft.com/office/spreadsheetml/2017/richdata2" ref="A2:E65">
    <sortCondition ref="E2:E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MPONELA, Powell (CIMMYT-Nepal)</dc:creator>
  <cp:lastModifiedBy>MPONELA, Powell (CIMMYT-Nepal)</cp:lastModifiedBy>
  <dcterms:created xsi:type="dcterms:W3CDTF">2026-02-23T05:58:39Z</dcterms:created>
  <dcterms:modified xsi:type="dcterms:W3CDTF">2026-03-30T17:22:13Z</dcterms:modified>
</cp:coreProperties>
</file>